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ransactions" sheetId="2" r:id="rId6"/>
    <sheet state="visible" name="Category Summary" sheetId="3" r:id="rId7"/>
    <sheet state="visible" name="Merchant Summary" sheetId="4" r:id="rId8"/>
    <sheet state="visible" name="Monthly" sheetId="5" r:id="rId9"/>
    <sheet state="visible" name="Cardholders" sheetId="6" r:id="rId10"/>
    <sheet state="visible" name="Needs Review" sheetId="7" r:id="rId11"/>
    <sheet state="visible" name="Validation" sheetId="8" r:id="rId12"/>
    <sheet state="visible" name="Sources &amp; Notes" sheetId="9" r:id="rId13"/>
  </sheets>
  <definedNames/>
  <calcPr/>
</workbook>
</file>

<file path=xl/sharedStrings.xml><?xml version="1.0" encoding="utf-8"?>
<sst xmlns="http://schemas.openxmlformats.org/spreadsheetml/2006/main" count="5011" uniqueCount="826">
  <si>
    <t>Credit Card Spend Analysis - FY 2025-26</t>
  </si>
  <si>
    <t>Source: 12 uploaded HDFC Bank Infinia credit-card statement PDFs. Card numbers, address and email were not copied into this workbook.</t>
  </si>
  <si>
    <t>Metric</t>
  </si>
  <si>
    <t>Value</t>
  </si>
  <si>
    <t>Notes</t>
  </si>
  <si>
    <t>Category</t>
  </si>
  <si>
    <t>Net Spend</t>
  </si>
  <si>
    <t>Gross spends / debits</t>
  </si>
  <si>
    <t>All positive purchase/debit rows inside FY date filter</t>
  </si>
  <si>
    <t>Travel &amp; Visa</t>
  </si>
  <si>
    <t>Refunds / merchant reversals</t>
  </si>
  <si>
    <t>Credits from merchants, excluding card bill payments</t>
  </si>
  <si>
    <t>Fitness &amp; Wellness</t>
  </si>
  <si>
    <t>Net expenditure after refunds</t>
  </si>
  <si>
    <t>Recommended actual expenditure figure</t>
  </si>
  <si>
    <t>Healthcare, Pharmacy &amp; Insurance</t>
  </si>
  <si>
    <t>Card bill payments / credits</t>
  </si>
  <si>
    <t>Payments to card account; excluded from expenditure</t>
  </si>
  <si>
    <t>Food &amp; Dining</t>
  </si>
  <si>
    <t>Transactions analysed</t>
  </si>
  <si>
    <t>FY-dated rows from uploaded statements</t>
  </si>
  <si>
    <t>Shopping - Apparel, Beauty &amp; General Retail</t>
  </si>
  <si>
    <t>Available transaction date range</t>
  </si>
  <si>
    <t>2025-04-01 to 2026-03-23</t>
  </si>
  <si>
    <t>FY 2025-26 filter applied, but uploaded PDFs only contain rows through 2026-03-23</t>
  </si>
  <si>
    <t>Jewelry</t>
  </si>
  <si>
    <t>Technology &amp; Electronics</t>
  </si>
  <si>
    <t>Category summary (net expenditure after refunds)</t>
  </si>
  <si>
    <t>Top merchant groups by net expenditure</t>
  </si>
  <si>
    <t>Groceries &amp; Household</t>
  </si>
  <si>
    <t>Entertainment &amp; Subscriptions</t>
  </si>
  <si>
    <t>Gross Spend</t>
  </si>
  <si>
    <t>Refunds</t>
  </si>
  <si>
    <t>% of Net</t>
  </si>
  <si>
    <t>Txn Count</t>
  </si>
  <si>
    <t>Merchant Group</t>
  </si>
  <si>
    <t>Gift Cards &amp; Vouchers</t>
  </si>
  <si>
    <t>HDFC SmartBuy - Flights</t>
  </si>
  <si>
    <t>Random Access Growth / gym franchise</t>
  </si>
  <si>
    <t>Hospitals / clinics</t>
  </si>
  <si>
    <t>Fashion / apparel / beauty retail</t>
  </si>
  <si>
    <t>Swiggy/Zomato/Food delivery</t>
  </si>
  <si>
    <t>Restaurants / cafes / sweets</t>
  </si>
  <si>
    <t>Technology / electronics</t>
  </si>
  <si>
    <t>Groceries / quick commerce</t>
  </si>
  <si>
    <t>Online pharmacy</t>
  </si>
  <si>
    <t>Auto &amp; Transport</t>
  </si>
  <si>
    <t>ConfirmTkt</t>
  </si>
  <si>
    <t>Government, Taxes &amp; Fees</t>
  </si>
  <si>
    <t>VFS Global</t>
  </si>
  <si>
    <t>Unknown / Needs Review</t>
  </si>
  <si>
    <t>Digital entertainment subscriptions</t>
  </si>
  <si>
    <t>Kids, Baby &amp; Toys</t>
  </si>
  <si>
    <t>GyFTR / SmartBuy gift vouchers</t>
  </si>
  <si>
    <t>Personal Care &amp; Wellness</t>
  </si>
  <si>
    <t>Auto/vehicle</t>
  </si>
  <si>
    <t>Home &amp; Utilities</t>
  </si>
  <si>
    <t>Cultfit / HealthifyMe</t>
  </si>
  <si>
    <t>Wallet/Payment App &amp; Misc</t>
  </si>
  <si>
    <t>Goibibo - Flights</t>
  </si>
  <si>
    <t>Charity &amp; Donations</t>
  </si>
  <si>
    <t>GRIPS 2.0 / WB Govt receipt</t>
  </si>
  <si>
    <t>Online Shopping / Marketplace</t>
  </si>
  <si>
    <t>MakeMyTrip</t>
  </si>
  <si>
    <t>Fees &amp; Charges</t>
  </si>
  <si>
    <t>Kids / baby / toys</t>
  </si>
  <si>
    <t>Date</t>
  </si>
  <si>
    <t>Time</t>
  </si>
  <si>
    <t>Statement Month</t>
  </si>
  <si>
    <t>Cardholder</t>
  </si>
  <si>
    <t>Statement Merchant</t>
  </si>
  <si>
    <t>Subcategory</t>
  </si>
  <si>
    <t>Transaction Type</t>
  </si>
  <si>
    <t>Amount</t>
  </si>
  <si>
    <t>Refund/Reversal</t>
  </si>
  <si>
    <t>Net Expense</t>
  </si>
  <si>
    <t>Confidence</t>
  </si>
  <si>
    <t>08:50:00</t>
  </si>
  <si>
    <t>April</t>
  </si>
  <si>
    <t>ADNAAN AHMED</t>
  </si>
  <si>
    <t>NETFLIX NETFLIX</t>
  </si>
  <si>
    <t>Streaming/gaming/apps</t>
  </si>
  <si>
    <t>Debit/Spend</t>
  </si>
  <si>
    <t>High</t>
  </si>
  <si>
    <t>21:09:53</t>
  </si>
  <si>
    <t>PVR LIMITED BANGALORE</t>
  </si>
  <si>
    <t>PVR / INOX</t>
  </si>
  <si>
    <t>Cinema</t>
  </si>
  <si>
    <t>19:18:33</t>
  </si>
  <si>
    <t>CT FLIGHT VIA SMARTBUY BANGALORE</t>
  </si>
  <si>
    <t>Flights</t>
  </si>
  <si>
    <t>15:01:46</t>
  </si>
  <si>
    <t>GOOGLE PLAY SER CYBS SI MUMBAI</t>
  </si>
  <si>
    <t>00:57:22</t>
  </si>
  <si>
    <t>DREAMPLUG TECHNOLOGI BANGALORE</t>
  </si>
  <si>
    <t>Dreamplug / CRED</t>
  </si>
  <si>
    <t>Payment app - unknown underlying spend</t>
  </si>
  <si>
    <t>Medium</t>
  </si>
  <si>
    <t>Underlying merchant not visible in statement</t>
  </si>
  <si>
    <t>00:56:12</t>
  </si>
  <si>
    <t>TELE TRANSFER CREDIT (Ref# ST250980083000010106092)</t>
  </si>
  <si>
    <t>Card bill payment</t>
  </si>
  <si>
    <t>Payments/Credits (not expense)</t>
  </si>
  <si>
    <t>Bill Payment/Credit</t>
  </si>
  <si>
    <t>Excluded from expenditure</t>
  </si>
  <si>
    <t>00:27:11</t>
  </si>
  <si>
    <t>GOIBIBO FLIGHT VIA SMA BANGALORE</t>
  </si>
  <si>
    <t>20:17:27</t>
  </si>
  <si>
    <t>AKASA AIRB MUMBAI</t>
  </si>
  <si>
    <t>Akasa Air</t>
  </si>
  <si>
    <t>15:59:07</t>
  </si>
  <si>
    <t>TATA GROUP KOLKATA</t>
  </si>
  <si>
    <t>Tata Group</t>
  </si>
  <si>
    <t>Merchant unclear</t>
  </si>
  <si>
    <t>Low</t>
  </si>
  <si>
    <t>Descriptor too generic</t>
  </si>
  <si>
    <t>13:27:57</t>
  </si>
  <si>
    <t>BLINKIT GURGAON</t>
  </si>
  <si>
    <t>Grocery/quick commerce</t>
  </si>
  <si>
    <t>01:38:50</t>
  </si>
  <si>
    <t>AMAZONIN GURGAON</t>
  </si>
  <si>
    <t>Amazon / Flipkart</t>
  </si>
  <si>
    <t>Marketplace purchase/refund</t>
  </si>
  <si>
    <t>Item not visible in statement</t>
  </si>
  <si>
    <t>01:09:27</t>
  </si>
  <si>
    <t>21:41:26</t>
  </si>
  <si>
    <t>Sufia Naseem</t>
  </si>
  <si>
    <t>LAKEVIEWMILKBAR BANGALORE</t>
  </si>
  <si>
    <t>Restaurants/cafes</t>
  </si>
  <si>
    <t>21:39:36</t>
  </si>
  <si>
    <t>PURANI DILLI BANGALORE</t>
  </si>
  <si>
    <t>21:37:36</t>
  </si>
  <si>
    <t>Koriken BANGALORE</t>
  </si>
  <si>
    <t>21:36:19</t>
  </si>
  <si>
    <t>SMOKE THE SIZZLER HOUSEBANGALORE</t>
  </si>
  <si>
    <t>09:08:26</t>
  </si>
  <si>
    <t>May</t>
  </si>
  <si>
    <t>02:44:04</t>
  </si>
  <si>
    <t>02:44:43</t>
  </si>
  <si>
    <t>17:47:49</t>
  </si>
  <si>
    <t>LA PINO Z PIZZA BANGALORE</t>
  </si>
  <si>
    <t>02:42:56</t>
  </si>
  <si>
    <t>TELE TRANSFER CREDIT (Ref# ST251260083000010106343)</t>
  </si>
  <si>
    <t>15:01:51</t>
  </si>
  <si>
    <t>22:01:15</t>
  </si>
  <si>
    <t>ZEPTO MUMBAI</t>
  </si>
  <si>
    <t>00:38:12</t>
  </si>
  <si>
    <t>PhiCom*Blue Tokoi BANGALORE</t>
  </si>
  <si>
    <t>00:00:24</t>
  </si>
  <si>
    <t>NYKAA GURGAON</t>
  </si>
  <si>
    <t>Apparel/beauty/general retail</t>
  </si>
  <si>
    <t>15:19:37</t>
  </si>
  <si>
    <t>GOOGLE CLOUD MUMBAI</t>
  </si>
  <si>
    <t>Electronics/IT/cloud</t>
  </si>
  <si>
    <t>18:57:40</t>
  </si>
  <si>
    <t>RAINBOW HOSPITALS BANGALORE</t>
  </si>
  <si>
    <t>Hospitals/clinics</t>
  </si>
  <si>
    <t>18:05:24</t>
  </si>
  <si>
    <t>18:46:08</t>
  </si>
  <si>
    <t>15:24:37</t>
  </si>
  <si>
    <t>Aayesha Farheen</t>
  </si>
  <si>
    <t>MACINTEL SOLUTIONS KOLKATA</t>
  </si>
  <si>
    <t>19:53:36</t>
  </si>
  <si>
    <t>RAHMAN NEEDLE CRAFT KOLKATA</t>
  </si>
  <si>
    <t>13:22:37</t>
  </si>
  <si>
    <t>ARSALAN RESTAURANT AND KOLKATA</t>
  </si>
  <si>
    <t>11:14:07</t>
  </si>
  <si>
    <t>17:32:30</t>
  </si>
  <si>
    <t>DRY FRUIT HOUSE BENGALURU</t>
  </si>
  <si>
    <t>18:34:20</t>
  </si>
  <si>
    <t>June</t>
  </si>
  <si>
    <t>Myntra Designs Pvt Ltd BANGALORE</t>
  </si>
  <si>
    <t>16:56:23</t>
  </si>
  <si>
    <t>AISHWARYA HYPER CITY BANGALORE</t>
  </si>
  <si>
    <t>15:05:46</t>
  </si>
  <si>
    <t>Refund/Reversal/Credit</t>
  </si>
  <si>
    <t>16:22:52</t>
  </si>
  <si>
    <t>CRED_FASTAG BANGALORE</t>
  </si>
  <si>
    <t>Auto service/accessories/Fastag</t>
  </si>
  <si>
    <t>17:38:24</t>
  </si>
  <si>
    <t>BLINK COMMERCE PVT LTD BANGALORE</t>
  </si>
  <si>
    <t>14:06:20</t>
  </si>
  <si>
    <t>PlayStation Network LONDON</t>
  </si>
  <si>
    <t>10:21:34</t>
  </si>
  <si>
    <t>Fortis Hospitals Limit BANGALORE</t>
  </si>
  <si>
    <t>10:20:06</t>
  </si>
  <si>
    <t>11:51:00</t>
  </si>
  <si>
    <t>International Hospital BANGALORE</t>
  </si>
  <si>
    <t>07:34:11</t>
  </si>
  <si>
    <t>01:49:44</t>
  </si>
  <si>
    <t>PAY*URBANCLAP TECHNOLO WWW.URBANC</t>
  </si>
  <si>
    <t>Home services / utilities</t>
  </si>
  <si>
    <t>Home services/water</t>
  </si>
  <si>
    <t>00:04:02</t>
  </si>
  <si>
    <t>16:15:55</t>
  </si>
  <si>
    <t>CRED GARAGE BANGALORE</t>
  </si>
  <si>
    <t>00:04:39</t>
  </si>
  <si>
    <t>1% on all DCC Transaction (Ref# ST251550084000015749326)</t>
  </si>
  <si>
    <t>Bank / FX / GST charges</t>
  </si>
  <si>
    <t>FX/DCC/GST fees</t>
  </si>
  <si>
    <t>13:57:21</t>
  </si>
  <si>
    <t>IGST-VPS2615534027873-RATE 18.0 -29 (Ref# ST251550084000015749326)</t>
  </si>
  <si>
    <t>00:02:56</t>
  </si>
  <si>
    <t>TELE TRANSFER CREDIT (Ref# ST251550083000010352958)</t>
  </si>
  <si>
    <t>15:01:54</t>
  </si>
  <si>
    <t>23:19:33</t>
  </si>
  <si>
    <t>Blinkit BANGALORE</t>
  </si>
  <si>
    <t>18:26:29</t>
  </si>
  <si>
    <t>22:04:26</t>
  </si>
  <si>
    <t>ANAND SWEETS AND SAVOURBANGALORE</t>
  </si>
  <si>
    <t>18:12:15</t>
  </si>
  <si>
    <t>RAZ*ANILAKH DESIGNS LLP Mumbai</t>
  </si>
  <si>
    <t>No rule matched</t>
  </si>
  <si>
    <t>20:43:34</t>
  </si>
  <si>
    <t>JOCKEY BENGALURU</t>
  </si>
  <si>
    <t>18:42:15</t>
  </si>
  <si>
    <t>GYFTR SMARTBUY TWO NEW DELHI</t>
  </si>
  <si>
    <t>Gift vouchers</t>
  </si>
  <si>
    <t>Actual end-use/brand not visible in statement</t>
  </si>
  <si>
    <t>18:44:09</t>
  </si>
  <si>
    <t>FSN ECOMMERCE VENTURES P Mumbai</t>
  </si>
  <si>
    <t>18:24:53</t>
  </si>
  <si>
    <t>NKP EMPIRE VENTURES PVTBANGALORE</t>
  </si>
  <si>
    <t>21:44:57</t>
  </si>
  <si>
    <t>RAZ*Cultfit Official ParChandigarh</t>
  </si>
  <si>
    <t>Gym/fitness</t>
  </si>
  <si>
    <t>19:33:19</t>
  </si>
  <si>
    <t>RAZ*Random Access Growth Bengaluru</t>
  </si>
  <si>
    <t>Web-verified as Gold's Gym/Cult.fit franchise</t>
  </si>
  <si>
    <t>17:53:07</t>
  </si>
  <si>
    <t>18:54:54</t>
  </si>
  <si>
    <t>15:38:07</t>
  </si>
  <si>
    <t>11:26:00</t>
  </si>
  <si>
    <t>21:00:06</t>
  </si>
  <si>
    <t>AVENUE SUPERMARTS LIMITBANGALORE</t>
  </si>
  <si>
    <t>12:57:48</t>
  </si>
  <si>
    <t>BREWING BEANS BANGALORE</t>
  </si>
  <si>
    <t>09:45:08</t>
  </si>
  <si>
    <t>22:30:42</t>
  </si>
  <si>
    <t>July</t>
  </si>
  <si>
    <t>WWWDINEOUTCOIN GURGAON</t>
  </si>
  <si>
    <t>00:36:33</t>
  </si>
  <si>
    <t>First Cry PUNE</t>
  </si>
  <si>
    <t>09:12:47</t>
  </si>
  <si>
    <t>GYFTR SMARTBUY ONE NEW DELHI</t>
  </si>
  <si>
    <t>08:18:32</t>
  </si>
  <si>
    <t>23:27:17</t>
  </si>
  <si>
    <t>PHARMEASY VIA SMARTBUY MUMBAI</t>
  </si>
  <si>
    <t>Pharmacy/healthcare</t>
  </si>
  <si>
    <t>20:31:16</t>
  </si>
  <si>
    <t>Swiggy Limited Bengaluru</t>
  </si>
  <si>
    <t>Food delivery</t>
  </si>
  <si>
    <t>14:36:42</t>
  </si>
  <si>
    <t>TELE TRANSFER CREDIT (Ref# ST251870083000010349404)</t>
  </si>
  <si>
    <t>15:03:53</t>
  </si>
  <si>
    <t>20:56:22</t>
  </si>
  <si>
    <t>00:16:36</t>
  </si>
  <si>
    <t>FSN Ecommerce Ventures PvMumbai</t>
  </si>
  <si>
    <t>23:31:43</t>
  </si>
  <si>
    <t>00:58:29</t>
  </si>
  <si>
    <t>SWIGGY Bangalore</t>
  </si>
  <si>
    <t>12:32:28</t>
  </si>
  <si>
    <t>11:45:23</t>
  </si>
  <si>
    <t>13:38:29</t>
  </si>
  <si>
    <t>22:37:27</t>
  </si>
  <si>
    <t>Aug</t>
  </si>
  <si>
    <t>ZEPTO MARKETPLACE PRIV BANGALORE</t>
  </si>
  <si>
    <t>11:35:31</t>
  </si>
  <si>
    <t>RAZ*Impact Guru FoundatioMumbai</t>
  </si>
  <si>
    <t>Impact Guru</t>
  </si>
  <si>
    <t>Donation/crowdfunding</t>
  </si>
  <si>
    <t>18:11:37</t>
  </si>
  <si>
    <t>MILANO ICE CREAM BANGALORE</t>
  </si>
  <si>
    <t>19:39:50</t>
  </si>
  <si>
    <t>TITAN COMPANY LIMITED BANGALORE</t>
  </si>
  <si>
    <t>21:56:32</t>
  </si>
  <si>
    <t>Diverse retails private Bangalore</t>
  </si>
  <si>
    <t>21:00:33</t>
  </si>
  <si>
    <t>LKST487 BANGALORE</t>
  </si>
  <si>
    <t>LKST487</t>
  </si>
  <si>
    <t>Retail - needs review</t>
  </si>
  <si>
    <t>Merchant descriptor unclear; could be retail store code</t>
  </si>
  <si>
    <t>23:08:36</t>
  </si>
  <si>
    <t>KULFILICIOUS BANGALORE</t>
  </si>
  <si>
    <t>08:08:53</t>
  </si>
  <si>
    <t>NETFLIX DI SI MUMBAI</t>
  </si>
  <si>
    <t>21:30:33</t>
  </si>
  <si>
    <t>20:18:33</t>
  </si>
  <si>
    <t>20:12:32</t>
  </si>
  <si>
    <t>02:54:36</t>
  </si>
  <si>
    <t>TELE TRANSFER CREDIT (Ref# ST252170093000010059000)</t>
  </si>
  <si>
    <t>15:01:47</t>
  </si>
  <si>
    <t>GOOGLE PLAY CONTENT PU MUMBAI</t>
  </si>
  <si>
    <t>13:31:51</t>
  </si>
  <si>
    <t>TYRE DISCOUNTERS PRIVATE BANGALORE</t>
  </si>
  <si>
    <t>00:27:50</t>
  </si>
  <si>
    <t>19:32:42</t>
  </si>
  <si>
    <t>15:51:35</t>
  </si>
  <si>
    <t>22:05:53</t>
  </si>
  <si>
    <t>01:48:30</t>
  </si>
  <si>
    <t>MAKEMYTRIP INDIA PVT NEW DELHI</t>
  </si>
  <si>
    <t>Travel booking</t>
  </si>
  <si>
    <t>00:23:33</t>
  </si>
  <si>
    <t>Swiggy Limited Bangalore</t>
  </si>
  <si>
    <t>20:58:24</t>
  </si>
  <si>
    <t>16:42:17</t>
  </si>
  <si>
    <t>22:15:16</t>
  </si>
  <si>
    <t>22:27:32</t>
  </si>
  <si>
    <t>18:58:59</t>
  </si>
  <si>
    <t>19:04:53</t>
  </si>
  <si>
    <t>17:27:46</t>
  </si>
  <si>
    <t>17:43:09</t>
  </si>
  <si>
    <t>Sept</t>
  </si>
  <si>
    <t>THIRD WAVE COFFEE BANGALORE</t>
  </si>
  <si>
    <t>16:44:42</t>
  </si>
  <si>
    <t>18:17:59</t>
  </si>
  <si>
    <t>23:11:35</t>
  </si>
  <si>
    <t>Swiggy Bangalore</t>
  </si>
  <si>
    <t>16:40:40</t>
  </si>
  <si>
    <t>08:00:47</t>
  </si>
  <si>
    <t>23:55:59</t>
  </si>
  <si>
    <t>TELE TRANSFER CREDIT (Ref# ST252490083000010071797)</t>
  </si>
  <si>
    <t>FLIPKART M Banglore</t>
  </si>
  <si>
    <t>15:24:11</t>
  </si>
  <si>
    <t>19:43:42</t>
  </si>
  <si>
    <t>TATA 1MG HEALTHCARE SOLUTGurgaon</t>
  </si>
  <si>
    <t>15:29:17</t>
  </si>
  <si>
    <t>UNIQUE CAR ACCESSORIES BANGALORE</t>
  </si>
  <si>
    <t>21:22:50</t>
  </si>
  <si>
    <t>PlayStation Network London</t>
  </si>
  <si>
    <t>14:24:53</t>
  </si>
  <si>
    <t>23:35:19</t>
  </si>
  <si>
    <t>Swiggy Bengaluru</t>
  </si>
  <si>
    <t>12:26:56</t>
  </si>
  <si>
    <t>11:35:18</t>
  </si>
  <si>
    <t>13:57:45</t>
  </si>
  <si>
    <t>15:40:48</t>
  </si>
  <si>
    <t>15:25:01</t>
  </si>
  <si>
    <t>15:11:55</t>
  </si>
  <si>
    <t>21:40:36</t>
  </si>
  <si>
    <t>IGST-VPS2625462749899-RATE 18.0 -29 (Ref# ST252540084000011402393)</t>
  </si>
  <si>
    <t>1% on all DCC Transaction (Ref# ST252540084000011402393)</t>
  </si>
  <si>
    <t>01:31:05</t>
  </si>
  <si>
    <t>01:23:30</t>
  </si>
  <si>
    <t>22:37:43</t>
  </si>
  <si>
    <t>BOOKMYSHOW MUMBAI</t>
  </si>
  <si>
    <t>PVR / BookMyShow</t>
  </si>
  <si>
    <t>Cinema/events</t>
  </si>
  <si>
    <t>23:30:49</t>
  </si>
  <si>
    <t>DIG IN VENTURES LLP BANGALORE</t>
  </si>
  <si>
    <t>16:24:45</t>
  </si>
  <si>
    <t>TANSI MOTORS PVT LTD BANGALORE</t>
  </si>
  <si>
    <t>22:20:49</t>
  </si>
  <si>
    <t>17:27:27</t>
  </si>
  <si>
    <t>00:21:35</t>
  </si>
  <si>
    <t>17:26:19</t>
  </si>
  <si>
    <t>THE ZEN AURA SPA BANGALORE</t>
  </si>
  <si>
    <t>Salon/Spa/Personal care</t>
  </si>
  <si>
    <t>Salon/spa/personal care</t>
  </si>
  <si>
    <t>21:39:46</t>
  </si>
  <si>
    <t>ZAITOON RESTAURANT AND BANGALORE</t>
  </si>
  <si>
    <t>19:32:40</t>
  </si>
  <si>
    <t>FOREST ESSENTIALS BENGALURU</t>
  </si>
  <si>
    <t>18:29:32</t>
  </si>
  <si>
    <t>20:22:27</t>
  </si>
  <si>
    <t>MALABAR CRYSTALS AND D BANGALORE</t>
  </si>
  <si>
    <t>Jewelry/gold</t>
  </si>
  <si>
    <t>15:53:21</t>
  </si>
  <si>
    <t>14:19:33</t>
  </si>
  <si>
    <t>22:50:40</t>
  </si>
  <si>
    <t>Oct</t>
  </si>
  <si>
    <t>21:28:21</t>
  </si>
  <si>
    <t>21:23:13</t>
  </si>
  <si>
    <t>00:40:00</t>
  </si>
  <si>
    <t>23:37:33</t>
  </si>
  <si>
    <t>PAY*JUBILANT FOODWORKS WWW.DOMINO</t>
  </si>
  <si>
    <t>00:20:38</t>
  </si>
  <si>
    <t>20:07:20</t>
  </si>
  <si>
    <t>BUNDL TECHNOLOGIES BENGALURU</t>
  </si>
  <si>
    <t>16:57:52</t>
  </si>
  <si>
    <t>23:08:35</t>
  </si>
  <si>
    <t>09:02:54</t>
  </si>
  <si>
    <t>08:02:07</t>
  </si>
  <si>
    <t>ZEPTO MARKETPLACE PRIVATEBangalore</t>
  </si>
  <si>
    <t>14:57:40</t>
  </si>
  <si>
    <t>22:29:08</t>
  </si>
  <si>
    <t>TATA 1MG HEALTHCARE SOLUTDelhi</t>
  </si>
  <si>
    <t>15:03:24</t>
  </si>
  <si>
    <t>11:19:13</t>
  </si>
  <si>
    <t>10:25:13</t>
  </si>
  <si>
    <t>18:00:58</t>
  </si>
  <si>
    <t>15:40:59</t>
  </si>
  <si>
    <t>08:27:10</t>
  </si>
  <si>
    <t>22:11:24</t>
  </si>
  <si>
    <t>12:34:05</t>
  </si>
  <si>
    <t>18:14:14</t>
  </si>
  <si>
    <t>ZOMATO NEW DELHI</t>
  </si>
  <si>
    <t>12:50:53</t>
  </si>
  <si>
    <t>TELE TRANSFER CREDIT (Ref# ST252780083000010150866)</t>
  </si>
  <si>
    <t>14:50:27</t>
  </si>
  <si>
    <t>SWIGGY BANGALORE</t>
  </si>
  <si>
    <t>17:55:17</t>
  </si>
  <si>
    <t>SWIGGY LIMITED Bangalore</t>
  </si>
  <si>
    <t>12:08:31</t>
  </si>
  <si>
    <t>19:22:42</t>
  </si>
  <si>
    <t>SPARKLE GOLD RETAIL VENBANGALORE</t>
  </si>
  <si>
    <t>00:02:30</t>
  </si>
  <si>
    <t>15:01:48</t>
  </si>
  <si>
    <t>12:03:34</t>
  </si>
  <si>
    <t>15:29:54</t>
  </si>
  <si>
    <t>11:32:43</t>
  </si>
  <si>
    <t>12:56:09</t>
  </si>
  <si>
    <t>WWW SWIGGY IN BANGALORE</t>
  </si>
  <si>
    <t>FSS4FIRSTCRY PUNE</t>
  </si>
  <si>
    <t>Kids/baby/toys</t>
  </si>
  <si>
    <t>14:54:38</t>
  </si>
  <si>
    <t>20:22:55</t>
  </si>
  <si>
    <t>23:16:44</t>
  </si>
  <si>
    <t>18:39:52</t>
  </si>
  <si>
    <t>11:58:04</t>
  </si>
  <si>
    <t>14:15:56</t>
  </si>
  <si>
    <t>PLAYSTATION BENGALURU</t>
  </si>
  <si>
    <t>22:46:25</t>
  </si>
  <si>
    <t>FIRSTCRYBABY PUNE</t>
  </si>
  <si>
    <t>17:34:32</t>
  </si>
  <si>
    <t>IN 3135 DECATHLON HSR CBANGALORE</t>
  </si>
  <si>
    <t>15:32:53</t>
  </si>
  <si>
    <t>17:20:53</t>
  </si>
  <si>
    <t>14:34:26</t>
  </si>
  <si>
    <t>FIRSTCRY PUNE</t>
  </si>
  <si>
    <t>23:42:03</t>
  </si>
  <si>
    <t>16:09:19</t>
  </si>
  <si>
    <t>11:50:23</t>
  </si>
  <si>
    <t>TYRESNMORE ONLINE PRIVA PUNE</t>
  </si>
  <si>
    <t>21:33:50</t>
  </si>
  <si>
    <t>16:54:40</t>
  </si>
  <si>
    <t>DR PRIYA SKIN AND HAIR BANGALORE</t>
  </si>
  <si>
    <t>18:05:01</t>
  </si>
  <si>
    <t>14:05:28</t>
  </si>
  <si>
    <t>16:46:36</t>
  </si>
  <si>
    <t>19:27:03</t>
  </si>
  <si>
    <t>19:03:38</t>
  </si>
  <si>
    <t>GLOBAL BABY STORE BANGALORE</t>
  </si>
  <si>
    <t>14:10:26</t>
  </si>
  <si>
    <t>17:23:24</t>
  </si>
  <si>
    <t>Nov</t>
  </si>
  <si>
    <t>20:52:05</t>
  </si>
  <si>
    <t>20:43:24</t>
  </si>
  <si>
    <t>22:30:04</t>
  </si>
  <si>
    <t>COPYCATZ NOIDA</t>
  </si>
  <si>
    <t>22:45:15</t>
  </si>
  <si>
    <t>14:35:08</t>
  </si>
  <si>
    <t>21:08:11</t>
  </si>
  <si>
    <t>17:10:55</t>
  </si>
  <si>
    <t>17:50:57</t>
  </si>
  <si>
    <t>14:31:52</t>
  </si>
  <si>
    <t>12:54:58</t>
  </si>
  <si>
    <t>20:41:56</t>
  </si>
  <si>
    <t>22:41:25</t>
  </si>
  <si>
    <t>Jubilant Foodworks Lim Noida</t>
  </si>
  <si>
    <t>23:12:47</t>
  </si>
  <si>
    <t>Swiggy BANGALORE</t>
  </si>
  <si>
    <t>08:47:32</t>
  </si>
  <si>
    <t>14:08:55</t>
  </si>
  <si>
    <t>12:43:33</t>
  </si>
  <si>
    <t>00:05:52</t>
  </si>
  <si>
    <t>TATA 1MG HEALTHCARE DELHI</t>
  </si>
  <si>
    <t>21:03:25</t>
  </si>
  <si>
    <t>HENNES N MAURITZ BANGALORE</t>
  </si>
  <si>
    <t>21:41:13</t>
  </si>
  <si>
    <t>23:47:50</t>
  </si>
  <si>
    <t>15:33:00</t>
  </si>
  <si>
    <t>19:11:52</t>
  </si>
  <si>
    <t>Bundl technologies Bangalore</t>
  </si>
  <si>
    <t>21:06:06</t>
  </si>
  <si>
    <t>18:44:18</t>
  </si>
  <si>
    <t>18:40:48</t>
  </si>
  <si>
    <t>08:29:11</t>
  </si>
  <si>
    <t>13:06:25</t>
  </si>
  <si>
    <t>00:20:35</t>
  </si>
  <si>
    <t>TELE TRANSFER CREDIT (Ref# ST253130083000010314123)</t>
  </si>
  <si>
    <t>14:35:03</t>
  </si>
  <si>
    <t>23:47:02</t>
  </si>
  <si>
    <t>11:21:25</t>
  </si>
  <si>
    <t>21:34:19</t>
  </si>
  <si>
    <t>12:20:57</t>
  </si>
  <si>
    <t>12:34:31</t>
  </si>
  <si>
    <t>CONFIRMTKT SMART BUY BENGALURU</t>
  </si>
  <si>
    <t>Train tickets</t>
  </si>
  <si>
    <t>14:19:27</t>
  </si>
  <si>
    <t>17:16:31</t>
  </si>
  <si>
    <t>16:49:29</t>
  </si>
  <si>
    <t>16:54:13</t>
  </si>
  <si>
    <t>14:16:10</t>
  </si>
  <si>
    <t>01:40:07</t>
  </si>
  <si>
    <t>BHARTI AIRTEL LIMITED NOIDA</t>
  </si>
  <si>
    <t>Airtel</t>
  </si>
  <si>
    <t>Telecom</t>
  </si>
  <si>
    <t>01:44:48</t>
  </si>
  <si>
    <t>16:19:02</t>
  </si>
  <si>
    <t>GLENS BAKE HOUSE BENGALURU</t>
  </si>
  <si>
    <t>12:09:07</t>
  </si>
  <si>
    <t>13:13:17</t>
  </si>
  <si>
    <t>22:06:36</t>
  </si>
  <si>
    <t>10:30:07</t>
  </si>
  <si>
    <t>21:49:03</t>
  </si>
  <si>
    <t>12:54:36</t>
  </si>
  <si>
    <t>PlayStation Network Sony PSN</t>
  </si>
  <si>
    <t>17:02:32</t>
  </si>
  <si>
    <t>Dec</t>
  </si>
  <si>
    <t>17:00:19</t>
  </si>
  <si>
    <t>12:18:08</t>
  </si>
  <si>
    <t>17:13:27</t>
  </si>
  <si>
    <t>21:44:25</t>
  </si>
  <si>
    <t>1% on all DCC Transaction (Ref# ST253300084000011521360)</t>
  </si>
  <si>
    <t>IGST-VPS2633085980594-RATE 18.0 -29 (Ref# ST253300084000011521360)</t>
  </si>
  <si>
    <t>22:05:22</t>
  </si>
  <si>
    <t>13:59:26</t>
  </si>
  <si>
    <t>11:32:35</t>
  </si>
  <si>
    <t>13:15:01</t>
  </si>
  <si>
    <t>10:19:29</t>
  </si>
  <si>
    <t>11:08:32</t>
  </si>
  <si>
    <t>08:24:59</t>
  </si>
  <si>
    <t>DRINKPRIME BANGALORE</t>
  </si>
  <si>
    <t>08:04:42</t>
  </si>
  <si>
    <t>23:17:04</t>
  </si>
  <si>
    <t>14:44:53</t>
  </si>
  <si>
    <t>13:52:04</t>
  </si>
  <si>
    <t>17:01:17</t>
  </si>
  <si>
    <t>1% on all DCC Transaction (Ref# ST253350084000011105445)</t>
  </si>
  <si>
    <t>IGST-VPS2633594241535-RATE 18.0 -29 (Ref# ST253350084000011105445)</t>
  </si>
  <si>
    <t>20:38:43</t>
  </si>
  <si>
    <t>23:14:10</t>
  </si>
  <si>
    <t>SWIGGY DINEOUT BENGALURU</t>
  </si>
  <si>
    <t>00:22:17</t>
  </si>
  <si>
    <t>21:51:22</t>
  </si>
  <si>
    <t>08:17:12</t>
  </si>
  <si>
    <t>10:40:54</t>
  </si>
  <si>
    <t>21:07:04</t>
  </si>
  <si>
    <t>00:37:44</t>
  </si>
  <si>
    <t>18:41:57</t>
  </si>
  <si>
    <t>02:22:34</t>
  </si>
  <si>
    <t>TELE TRANSFER CREDIT (Ref# ST253400083000010304459)</t>
  </si>
  <si>
    <t>20:23:58</t>
  </si>
  <si>
    <t>15:01:49</t>
  </si>
  <si>
    <t>23:26:54</t>
  </si>
  <si>
    <t>1% on all DCC Transaction (Ref# ST253420084000012751487)</t>
  </si>
  <si>
    <t>17:50:19</t>
  </si>
  <si>
    <t>POLICYBAZAAR COM GURGAON</t>
  </si>
  <si>
    <t>Policybazaar</t>
  </si>
  <si>
    <t>Insurance</t>
  </si>
  <si>
    <t>17:08:32</t>
  </si>
  <si>
    <t>GRIPSTwopointzero HOWRAH</t>
  </si>
  <si>
    <t>Government payment</t>
  </si>
  <si>
    <t>11:45:12</t>
  </si>
  <si>
    <t>IGST-VPS2634215738841-RATE 18.0 -29 (Ref# ST253420084000012751487)</t>
  </si>
  <si>
    <t>23:44:11</t>
  </si>
  <si>
    <t>18:32:16</t>
  </si>
  <si>
    <t>GIAN RETAILS PVT LTD Gurgaon</t>
  </si>
  <si>
    <t>15:12:45</t>
  </si>
  <si>
    <t>01:03:04</t>
  </si>
  <si>
    <t>03:01:36</t>
  </si>
  <si>
    <t>15:53:28</t>
  </si>
  <si>
    <t>21:00:10</t>
  </si>
  <si>
    <t>INDIGO NEW DELHI</t>
  </si>
  <si>
    <t>IndiGo</t>
  </si>
  <si>
    <t>12:52:27</t>
  </si>
  <si>
    <t>RAINBOW CHILDRENS MEDIC BANGALORE</t>
  </si>
  <si>
    <t>14:12:36</t>
  </si>
  <si>
    <t>ROSEWALK BENGALURU</t>
  </si>
  <si>
    <t>13:30:45</t>
  </si>
  <si>
    <t>14:15:20</t>
  </si>
  <si>
    <t>16:54:08</t>
  </si>
  <si>
    <t>22:19:41</t>
  </si>
  <si>
    <t>Jan</t>
  </si>
  <si>
    <t>22:05:52</t>
  </si>
  <si>
    <t>SALON 88 KOLKATA</t>
  </si>
  <si>
    <t>15:55:27</t>
  </si>
  <si>
    <t>16:10:09</t>
  </si>
  <si>
    <t>16:20:34</t>
  </si>
  <si>
    <t>05:39:44</t>
  </si>
  <si>
    <t>Airport Lounge Bangalore</t>
  </si>
  <si>
    <t>Airport Lounge</t>
  </si>
  <si>
    <t>Lounge/reversal</t>
  </si>
  <si>
    <t>23:42:12</t>
  </si>
  <si>
    <t>M S OUDH 1590 KOLKATA</t>
  </si>
  <si>
    <t>10:34:24</t>
  </si>
  <si>
    <t>YATRA HOTEL VIA SMARTB BANGALORE</t>
  </si>
  <si>
    <t>Yatra - Hotel</t>
  </si>
  <si>
    <t>Hotels</t>
  </si>
  <si>
    <t>19:47:41</t>
  </si>
  <si>
    <t>PVR INOX LIMITED KOLKATA</t>
  </si>
  <si>
    <t>15:36:37</t>
  </si>
  <si>
    <t>09:11:43</t>
  </si>
  <si>
    <t>14:59:10</t>
  </si>
  <si>
    <t>19:00:31</t>
  </si>
  <si>
    <t>THE THAI AURA SPA KOLKATTA</t>
  </si>
  <si>
    <t>18:28:34</t>
  </si>
  <si>
    <t>LOGICA INFOWAY LIMITED KOLKATA</t>
  </si>
  <si>
    <t>21:33:16</t>
  </si>
  <si>
    <t>MAJOR BRANDS INDIA PVT KOLKATA</t>
  </si>
  <si>
    <t>14:04:43</t>
  </si>
  <si>
    <t>15:03:05</t>
  </si>
  <si>
    <t>18:02:29</t>
  </si>
  <si>
    <t>INDIGO AINE GURGAON</t>
  </si>
  <si>
    <t>18:02:28</t>
  </si>
  <si>
    <t>TELE TRANSFER CREDIT (Ref# ST260080083000010475852)</t>
  </si>
  <si>
    <t>18:35:18</t>
  </si>
  <si>
    <t>22:49:36</t>
  </si>
  <si>
    <t>15:45:30</t>
  </si>
  <si>
    <t>23:20:23</t>
  </si>
  <si>
    <t>12:22:31</t>
  </si>
  <si>
    <t>12:18:12</t>
  </si>
  <si>
    <t>01:36:17</t>
  </si>
  <si>
    <t>23:31:38</t>
  </si>
  <si>
    <t>13:37:08</t>
  </si>
  <si>
    <t>03:55:49</t>
  </si>
  <si>
    <t>19:51:04</t>
  </si>
  <si>
    <t>14:57:29</t>
  </si>
  <si>
    <t>M S CADABAMS HOSPITALS BENGALORE</t>
  </si>
  <si>
    <t>14:24:01</t>
  </si>
  <si>
    <t>17:11:37</t>
  </si>
  <si>
    <t>19:57:47</t>
  </si>
  <si>
    <t>00:10:42</t>
  </si>
  <si>
    <t>10:32:05</t>
  </si>
  <si>
    <t>03:28:09</t>
  </si>
  <si>
    <t>00:53:29</t>
  </si>
  <si>
    <t>17:16:15</t>
  </si>
  <si>
    <t>23:34:42</t>
  </si>
  <si>
    <t>GOOGLE PLAY MUMBAI</t>
  </si>
  <si>
    <t>00:04:12</t>
  </si>
  <si>
    <t>18:17:41</t>
  </si>
  <si>
    <t>23:30:56</t>
  </si>
  <si>
    <t>05:10:14</t>
  </si>
  <si>
    <t>19:24:47</t>
  </si>
  <si>
    <t>16:56:39</t>
  </si>
  <si>
    <t>21:23:50</t>
  </si>
  <si>
    <t>19:57:21</t>
  </si>
  <si>
    <t>Feb</t>
  </si>
  <si>
    <t>INF*WWW.VFSGLOBAL.COM WWW.VFSGLO</t>
  </si>
  <si>
    <t>Visa services</t>
  </si>
  <si>
    <t>03:04:12</t>
  </si>
  <si>
    <t>GYFTR VIA SMARTBUY NEW DELHI</t>
  </si>
  <si>
    <t>03:17:30</t>
  </si>
  <si>
    <t>19:39:09</t>
  </si>
  <si>
    <t>16:40:17</t>
  </si>
  <si>
    <t>16:45:37</t>
  </si>
  <si>
    <t>17:48:16</t>
  </si>
  <si>
    <t>15:13:38</t>
  </si>
  <si>
    <t>20:18:36</t>
  </si>
  <si>
    <t>00:43:07</t>
  </si>
  <si>
    <t>17:57:39</t>
  </si>
  <si>
    <t>20:50:24</t>
  </si>
  <si>
    <t>00:17:27</t>
  </si>
  <si>
    <t>SWIGGY LIMITED BANGALORE</t>
  </si>
  <si>
    <t>23:58:56</t>
  </si>
  <si>
    <t>23:34:23</t>
  </si>
  <si>
    <t>17:35:57</t>
  </si>
  <si>
    <t>22:02:27</t>
  </si>
  <si>
    <t>09:14:45</t>
  </si>
  <si>
    <t>10:24:01</t>
  </si>
  <si>
    <t>SKILLMATICS MUMBAI</t>
  </si>
  <si>
    <t>17:42:54</t>
  </si>
  <si>
    <t>23:32:34</t>
  </si>
  <si>
    <t>TELE TRANSFER CREDIT (Ref# ST260370083000010433639)</t>
  </si>
  <si>
    <t>01:29:41</t>
  </si>
  <si>
    <t>NYKAA E RETAIL LIMI BANGALORE</t>
  </si>
  <si>
    <t>22:59:03</t>
  </si>
  <si>
    <t>15:01:58</t>
  </si>
  <si>
    <t>04:44:11</t>
  </si>
  <si>
    <t>17:15:59</t>
  </si>
  <si>
    <t>17:13:30</t>
  </si>
  <si>
    <t>14:12:12</t>
  </si>
  <si>
    <t>17:24:33</t>
  </si>
  <si>
    <t>03:14:24</t>
  </si>
  <si>
    <t>02:09:34</t>
  </si>
  <si>
    <t>21:13:22</t>
  </si>
  <si>
    <t>06:40:23</t>
  </si>
  <si>
    <t>XYXX APPARELS BANGALORE</t>
  </si>
  <si>
    <t>06:15:51</t>
  </si>
  <si>
    <t>COOLBEDS CHENNAI</t>
  </si>
  <si>
    <t>22:53:51</t>
  </si>
  <si>
    <t>13:48:26</t>
  </si>
  <si>
    <t>09:36:26</t>
  </si>
  <si>
    <t>00:41:47</t>
  </si>
  <si>
    <t>03:27:57</t>
  </si>
  <si>
    <t>18:17:03</t>
  </si>
  <si>
    <t>22:37:22</t>
  </si>
  <si>
    <t>15:26:34</t>
  </si>
  <si>
    <t>00:10:30</t>
  </si>
  <si>
    <t>RAZ*Bombay Musk Ghaziabad</t>
  </si>
  <si>
    <t>00:16:05</t>
  </si>
  <si>
    <t>MANMATTERS COM MUMBAI</t>
  </si>
  <si>
    <t>19:31:30</t>
  </si>
  <si>
    <t>13:36:33</t>
  </si>
  <si>
    <t>RAAHIPARFUMS KANNAUJ</t>
  </si>
  <si>
    <t>22:50:39</t>
  </si>
  <si>
    <t>CAS*Swiggy Bengaluru</t>
  </si>
  <si>
    <t>23:28:18</t>
  </si>
  <si>
    <t>20:41:14</t>
  </si>
  <si>
    <t>SHOPPERS STOP LTD KOLKATA</t>
  </si>
  <si>
    <t>12:01:47</t>
  </si>
  <si>
    <t>M S PARK MEDICAL RESEAR KOLKATA</t>
  </si>
  <si>
    <t>18:40:08</t>
  </si>
  <si>
    <t>Gupta Brothers KOLKATA</t>
  </si>
  <si>
    <t>12:41:00</t>
  </si>
  <si>
    <t>15:51:53</t>
  </si>
  <si>
    <t>RATHNAM JEWELLERS BANGALORE</t>
  </si>
  <si>
    <t>01:18:34</t>
  </si>
  <si>
    <t>March</t>
  </si>
  <si>
    <t>18:31:15</t>
  </si>
  <si>
    <t>19:27:44</t>
  </si>
  <si>
    <t>22:19:36</t>
  </si>
  <si>
    <t>08:54:43</t>
  </si>
  <si>
    <t>02:16:07</t>
  </si>
  <si>
    <t>22:07:21</t>
  </si>
  <si>
    <t>21:39:34</t>
  </si>
  <si>
    <t>01:41:36</t>
  </si>
  <si>
    <t>21:39:33</t>
  </si>
  <si>
    <t>TELE TRANSFER CREDIT (Ref# ST260650083000010058453)</t>
  </si>
  <si>
    <t>21:39:35</t>
  </si>
  <si>
    <t>15:02:00</t>
  </si>
  <si>
    <t>23:23:41</t>
  </si>
  <si>
    <t>16:25:29</t>
  </si>
  <si>
    <t>14:17:30</t>
  </si>
  <si>
    <t>05:43:20</t>
  </si>
  <si>
    <t>FIRSTCRY Pune</t>
  </si>
  <si>
    <t>23:25:42</t>
  </si>
  <si>
    <t>13:54:57</t>
  </si>
  <si>
    <t>01:19:17</t>
  </si>
  <si>
    <t>13:49:49</t>
  </si>
  <si>
    <t>23:44:30</t>
  </si>
  <si>
    <t>RAZ*Plazza Bengaluru</t>
  </si>
  <si>
    <t>23:50:25</t>
  </si>
  <si>
    <t>17:00:22</t>
  </si>
  <si>
    <t>19:52:57</t>
  </si>
  <si>
    <t>PLAYSTATION Sony PSN</t>
  </si>
  <si>
    <t>19:42:49</t>
  </si>
  <si>
    <t>13:57:46</t>
  </si>
  <si>
    <t>1% on all DCC Transaction (Ref# ST260740084000012069470)</t>
  </si>
  <si>
    <t>IGST-VPS2607460133694-RATE 18.0 -29 (Ref# ST260740084000012069470)</t>
  </si>
  <si>
    <t>16:53:22</t>
  </si>
  <si>
    <t>ING*MYNTRA DESIGNS PVT MUMBAI</t>
  </si>
  <si>
    <t>23:33:51</t>
  </si>
  <si>
    <t>17:20:27</t>
  </si>
  <si>
    <t>17:21:42</t>
  </si>
  <si>
    <t>16:37:58</t>
  </si>
  <si>
    <t>ALCHEMIC BEAUTY BANGALOBANGALORE</t>
  </si>
  <si>
    <t>18:15:08</t>
  </si>
  <si>
    <t>17:50:33</t>
  </si>
  <si>
    <t>NATRAJ FOODS BANGALORE</t>
  </si>
  <si>
    <t>15:07:16</t>
  </si>
  <si>
    <t>22:38:32</t>
  </si>
  <si>
    <t>18:09:33</t>
  </si>
  <si>
    <t>14:23:27</t>
  </si>
  <si>
    <t>12:04:41</t>
  </si>
  <si>
    <t>21:26:00</t>
  </si>
  <si>
    <t>12:25:29</t>
  </si>
  <si>
    <t>21:32:12</t>
  </si>
  <si>
    <t>12:10:11</t>
  </si>
  <si>
    <t>WWW SWIGGY COM GURGAON</t>
  </si>
  <si>
    <t>22:28:09</t>
  </si>
  <si>
    <t>PhiCom*BASL BANGALORE</t>
  </si>
  <si>
    <t>PhiCom*BASL</t>
  </si>
  <si>
    <t>No reliable match found</t>
  </si>
  <si>
    <t>IGST-VPS2607975810257-RATE 18.0 -29 (Ref# VT260790075034430000069)</t>
  </si>
  <si>
    <t>CONSOLIDATED FCY MARKUP FEE (Ref# VT260830075037170000125)</t>
  </si>
  <si>
    <t>14:44:45</t>
  </si>
  <si>
    <t>MUKHTAR SAREES KOLKATA</t>
  </si>
  <si>
    <t>16:28:52</t>
  </si>
  <si>
    <t>OMER RETAIL SULTAN KOLKATA</t>
  </si>
  <si>
    <t>15:01:44</t>
  </si>
  <si>
    <t>HANIA KOLKATA</t>
  </si>
  <si>
    <t>18:13:34</t>
  </si>
  <si>
    <t>SAPPHIRE TOYS P LTD BANGALORE</t>
  </si>
  <si>
    <t>05:42:26</t>
  </si>
  <si>
    <t>UBER *TRIP HELP.UBER.COM 800-592899 USD 74.34</t>
  </si>
  <si>
    <t>Uber</t>
  </si>
  <si>
    <t>Ride-hailing</t>
  </si>
  <si>
    <t>International transaction</t>
  </si>
  <si>
    <t>06:41:10</t>
  </si>
  <si>
    <t>LS THINKER TOYS 183-162404 USD 5.45</t>
  </si>
  <si>
    <t>Debit Count</t>
  </si>
  <si>
    <t>Source URL</t>
  </si>
  <si>
    <t>https://offers.reward360.in/v1/compare-fly</t>
  </si>
  <si>
    <t>https://www.simplyhired.co.in/job/t-IbaSwYR8NJa5uJ0yydYNE8F8xohV0A2gICn2suVpPLw-jHbiuHOw</t>
  </si>
  <si>
    <t>https://www.copycatz.in/ ; https://store.shoppersstop.com/location/west-bengal/kolkata</t>
  </si>
  <si>
    <t>https://www.logicainfoway.com/ ; https://macintelgroup.co.in/</t>
  </si>
  <si>
    <t>https://pharmeasy.in/</t>
  </si>
  <si>
    <t>https://www.confirmtkt.com/</t>
  </si>
  <si>
    <t>https://www.vfsglobal.com/en/individuals/index.html</t>
  </si>
  <si>
    <t>https://www.wbifms.gov.in/GRIPS/v2/</t>
  </si>
  <si>
    <t>Month</t>
  </si>
  <si>
    <t>Card Bill Payments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</si>
  <si>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</si>
  <si>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</si>
  <si>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</si>
  <si>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</si>
  <si>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</si>
  <si>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</si>
  <si>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</si>
  <si>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</si>
  <si>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</si>
  <si>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</si>
  <si>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</si>
  <si>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</si>
  <si>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Statement PDF</t>
  </si>
  <si>
    <t>Parsed Purchase/Debits</t>
  </si>
  <si>
    <t>Statement Purchase/Debits</t>
  </si>
  <si>
    <t>Debit Difference</t>
  </si>
  <si>
    <t>Parsed Payment/Credits</t>
  </si>
  <si>
    <t>Statement Payment/Credits</t>
  </si>
  <si>
    <t>Credit Difference</t>
  </si>
  <si>
    <t>All parsed monthly debit and credit totals reconcile exactly to the Account Summary lines in the uploaded PDFs.</t>
  </si>
  <si>
    <t>Topic</t>
  </si>
  <si>
    <t>Details</t>
  </si>
  <si>
    <t>FY filter</t>
  </si>
  <si>
    <t>Included transaction dates from 2025-04-01 to 2026-03-31. Uploaded statements contain transactions only through 2026-03-23; transactions from 2026-03-24 to 2026-03-31 are not visible unless the April 2026 statement is provided.</t>
  </si>
  <si>
    <t>Excluded rows</t>
  </si>
  <si>
    <t>10 rows dated 2025-03-23 to 2025-03-31 in the April 2025 statement were excluded from FY 2025-26. Their gross total was Rs 37,125.11.</t>
  </si>
  <si>
    <t>Total expenditure definition</t>
  </si>
  <si>
    <t>Net expenditure after merchant refunds/reversals; card bill payments are excluded because they are repayments of the card balance, not new spending.</t>
  </si>
  <si>
    <t>Validation</t>
  </si>
  <si>
    <t>Transaction extraction was reconciled statement-by-statement to Purchase/Debits and Payment/Credits in the Account Summary.</t>
  </si>
  <si>
    <t>Web-verified merchant sources</t>
  </si>
  <si>
    <t>See Merchant Summary Source URL column for researched merchant/category sources.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</si>
</sst>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Rs #,##0.00"/>
    <numFmt numFmtId="165" formatCode="0.0%"/>
    <numFmt numFmtId="166" formatCode="yyyy-mm-dd"/>
  </numFmts>
  <fonts count="6">
    <font>
      <sz val="11.0"/>
      <color rgb="FF000000"/>
      <name val="Carlito"/>
      <scheme val="minor"/>
    </font>
    <font>
      <b/>
      <sz val="16.0"/>
      <color rgb="FF1F4E78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b/>
      <sz val="11.0"/>
      <color rgb="FF1F4E78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vertical="center"/>
    </xf>
    <xf borderId="0" fillId="0" fontId="2" numFmtId="4" xfId="0" applyAlignment="1" applyFont="1" applyNumberFormat="1">
      <alignment shrinkToFit="0" wrapText="1"/>
    </xf>
    <xf borderId="0" fillId="0" fontId="4" numFmtId="0" xfId="0" applyFont="1"/>
    <xf borderId="0" fillId="0" fontId="2" numFmtId="164" xfId="0" applyFont="1" applyNumberFormat="1"/>
    <xf borderId="0" fillId="3" fontId="5" numFmtId="0" xfId="0" applyFill="1" applyFont="1"/>
    <xf borderId="0" fillId="2" fontId="3" numFmtId="4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center" vertical="center"/>
    </xf>
    <xf borderId="0" fillId="0" fontId="2" numFmtId="4" xfId="0" applyFont="1" applyNumberFormat="1"/>
    <xf borderId="0" fillId="0" fontId="2" numFmtId="165" xfId="0" applyFont="1" applyNumberFormat="1"/>
    <xf borderId="0" fillId="2" fontId="3" numFmtId="0" xfId="0" applyAlignment="1" applyFont="1">
      <alignment horizontal="center" vertical="center"/>
    </xf>
    <xf borderId="0" fillId="0" fontId="2" numFmtId="166" xfId="0" applyFont="1" applyNumberForma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4" xfId="0" applyFont="1" applyNumberFormat="1"/>
    <xf borderId="0" fillId="0" fontId="2" numFmtId="165" xfId="0" applyFont="1" applyNumberFormat="1"/>
    <xf borderId="0" fillId="0" fontId="2" numFmtId="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Transactions-style">
      <tableStyleElement dxfId="1" type="headerRow"/>
      <tableStyleElement dxfId="2" type="firstRowStripe"/>
      <tableStyleElement dxfId="3" type="secondRowStripe"/>
    </tableStyle>
    <tableStyle count="3" pivot="0" name="Category Summary-style">
      <tableStyleElement dxfId="1" type="headerRow"/>
      <tableStyleElement dxfId="2" type="firstRowStripe"/>
      <tableStyleElement dxfId="3" type="secondRowStripe"/>
    </tableStyle>
    <tableStyle count="3" pivot="0" name="Merchant Summary-style">
      <tableStyleElement dxfId="1" type="headerRow"/>
      <tableStyleElement dxfId="2" type="firstRowStripe"/>
      <tableStyleElement dxfId="3" type="secondRowStripe"/>
    </tableStyle>
    <tableStyle count="3" pivot="0" name="Monthly-style">
      <tableStyleElement dxfId="1" type="headerRow"/>
      <tableStyleElement dxfId="2" type="firstRowStripe"/>
      <tableStyleElement dxfId="3" type="secondRowStripe"/>
    </tableStyle>
    <tableStyle count="3" pivot="0" name="Cardholders-style">
      <tableStyleElement dxfId="1" type="headerRow"/>
      <tableStyleElement dxfId="2" type="firstRowStripe"/>
      <tableStyleElement dxfId="3" type="secondRowStripe"/>
    </tableStyle>
    <tableStyle count="3" pivot="0" name="Needs Review-style">
      <tableStyleElement dxfId="1" type="headerRow"/>
      <tableStyleElement dxfId="2" type="firstRowStripe"/>
      <tableStyleElement dxfId="3" type="secondRowStripe"/>
    </tableStyle>
    <tableStyle count="3" pivot="0" name="Valid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Categories by Net Spend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Net Spend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Summary!$O$5:$O$14</c:f>
            </c:strRef>
          </c:cat>
          <c:val>
            <c:numRef>
              <c:f>Summary!$P$5:$P$14</c:f>
              <c:numCache/>
            </c:numRef>
          </c:val>
        </c:ser>
        <c:axId val="1398919991"/>
        <c:axId val="664987210"/>
      </c:barChart>
      <c:catAx>
        <c:axId val="1398919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987210"/>
      </c:catAx>
      <c:valAx>
        <c:axId val="664987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91999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Gross / Refunds / Net Spend</a:t>
            </a:r>
          </a:p>
        </c:rich>
      </c:tx>
      <c:overlay val="0"/>
    </c:title>
    <c:plotArea>
      <c:layout/>
      <c:lineChart>
        <c:ser>
          <c:idx val="0"/>
          <c:order val="0"/>
          <c:tx>
            <c:v>Gross Spend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Monthly!$A$2:$A$13</c:f>
            </c:strRef>
          </c:cat>
          <c:val>
            <c:numRef>
              <c:f>Monthly!$B$2:$B$13</c:f>
              <c:numCache/>
            </c:numRef>
          </c:val>
          <c:smooth val="0"/>
        </c:ser>
        <c:ser>
          <c:idx val="1"/>
          <c:order val="1"/>
          <c:tx>
            <c:v>Refunds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Monthly!$A$2:$A$13</c:f>
            </c:strRef>
          </c:cat>
          <c:val>
            <c:numRef>
              <c:f>Monthly!$C$2:$C$13</c:f>
              <c:numCache/>
            </c:numRef>
          </c:val>
          <c:smooth val="0"/>
        </c:ser>
        <c:ser>
          <c:idx val="2"/>
          <c:order val="2"/>
          <c:tx>
            <c:v>Net Spend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Monthly!$A$2:$A$13</c:f>
            </c:strRef>
          </c:cat>
          <c:val>
            <c:numRef>
              <c:f>Monthly!$D$2:$D$13</c:f>
              <c:numCache/>
            </c:numRef>
          </c:val>
          <c:smooth val="0"/>
        </c:ser>
        <c:axId val="1598016165"/>
        <c:axId val="1622992500"/>
      </c:lineChart>
      <c:catAx>
        <c:axId val="1598016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992500"/>
      </c:catAx>
      <c:valAx>
        <c:axId val="1622992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01616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15</xdr:row>
      <xdr:rowOff>0</xdr:rowOff>
    </xdr:from>
    <xdr:ext cx="8505825" cy="3619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5257800" cy="3286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76" displayName="Table_1" name="Table_1" id="1">
  <tableColumns count="15">
    <tableColumn name="Date" id="1"/>
    <tableColumn name="Time" id="2"/>
    <tableColumn name="Statement Month" id="3"/>
    <tableColumn name="Cardholder" id="4"/>
    <tableColumn name="Statement Merchant" id="5"/>
    <tableColumn name="Merchant Group" id="6"/>
    <tableColumn name="Category" id="7"/>
    <tableColumn name="Subcategory" id="8"/>
    <tableColumn name="Transaction Type" id="9"/>
    <tableColumn name="Amount" id="10"/>
    <tableColumn name="Gross Spend" id="11"/>
    <tableColumn name="Refund/Reversal" id="12"/>
    <tableColumn name="Net Expense" id="13"/>
    <tableColumn name="Confidence" id="14"/>
    <tableColumn name="Notes" id="15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ref="A1:G21" displayName="Table_2" name="Table_2" id="2">
  <tableColumns count="7">
    <tableColumn name="Category" id="1"/>
    <tableColumn name="Txn Count" id="2"/>
    <tableColumn name="Debit Count" id="3"/>
    <tableColumn name="Gross Spend" id="4"/>
    <tableColumn name="Refunds" id="5"/>
    <tableColumn name="Net Spend" id="6"/>
    <tableColumn name="% of Net" id="7"/>
  </tableColumns>
  <tableStyleInfo name="Category Summary-style" showColumnStripes="0" showFirstColumn="1" showLastColumn="1" showRowStripes="1"/>
</table>
</file>

<file path=xl/tables/table3.xml><?xml version="1.0" encoding="utf-8"?>
<table xmlns="http://schemas.openxmlformats.org/spreadsheetml/2006/main" ref="A1:L44" displayName="Table_3" name="Table_3" id="3">
  <tableColumns count="12">
    <tableColumn name="Merchant Group" id="1"/>
    <tableColumn name="Category" id="2"/>
    <tableColumn name="Subcategory" id="3"/>
    <tableColumn name="Txn Count" id="4"/>
    <tableColumn name="Debit Count" id="5"/>
    <tableColumn name="Gross Spend" id="6"/>
    <tableColumn name="Refunds" id="7"/>
    <tableColumn name="Net Spend" id="8"/>
    <tableColumn name="% of Net" id="9"/>
    <tableColumn name="Confidence" id="10"/>
    <tableColumn name="Notes" id="11"/>
    <tableColumn name="Source URL" id="12"/>
  </tableColumns>
  <tableStyleInfo name="Merchant Summary-style" showColumnStripes="0" showFirstColumn="1" showLastColumn="1" showRowStripes="1"/>
</table>
</file>

<file path=xl/tables/table4.xml><?xml version="1.0" encoding="utf-8"?>
<table xmlns="http://schemas.openxmlformats.org/spreadsheetml/2006/main" ref="A1:E13" displayName="Table_4" name="Table_4" id="4">
  <tableColumns count="5">
    <tableColumn name="Month" id="1"/>
    <tableColumn name="Gross Spend" id="2"/>
    <tableColumn name="Refunds" id="3"/>
    <tableColumn name="Net Spend" id="4"/>
    <tableColumn name="Card Bill Payments" id="5"/>
  </tableColumns>
  <tableStyleInfo name="Monthly-style" showColumnStripes="0" showFirstColumn="1" showLastColumn="1" showRowStripes="1"/>
</table>
</file>

<file path=xl/tables/table5.xml><?xml version="1.0" encoding="utf-8"?>
<table xmlns="http://schemas.openxmlformats.org/spreadsheetml/2006/main" ref="A1:E4" displayName="Table_5" name="Table_5" id="5">
  <tableColumns count="5">
    <tableColumn name="Cardholder" id="1"/>
    <tableColumn name="Gross Spend" id="2"/>
    <tableColumn name="Refunds" id="3"/>
    <tableColumn name="Net Spend" id="4"/>
    <tableColumn name="Card Bill Payments" id="5"/>
  </tableColumns>
  <tableStyleInfo name="Cardholders-style" showColumnStripes="0" showFirstColumn="1" showLastColumn="1" showRowStripes="1"/>
</table>
</file>

<file path=xl/tables/table6.xml><?xml version="1.0" encoding="utf-8"?>
<table xmlns="http://schemas.openxmlformats.org/spreadsheetml/2006/main" ref="A1:O30" displayName="Table_6" name="Table_6" id="6">
  <tableColumns count="15">
    <tableColumn name="Date" id="1"/>
    <tableColumn name="Time" id="2"/>
    <tableColumn name="Statement Month" id="3"/>
    <tableColumn name="Cardholder" id="4"/>
    <tableColumn name="Statement Merchant" id="5"/>
    <tableColumn name="Merchant Group" id="6"/>
    <tableColumn name="Category" id="7"/>
    <tableColumn name="Subcategory" id="8"/>
    <tableColumn name="Transaction Type" id="9"/>
    <tableColumn name="Amount" id="10"/>
    <tableColumn name="Gross Spend" id="11"/>
    <tableColumn name="Refund/Reversal" id="12"/>
    <tableColumn name="Net Expense" id="13"/>
    <tableColumn name="Confidence" id="14"/>
    <tableColumn name="Notes" id="15"/>
  </tableColumns>
  <tableStyleInfo name="Needs Review-style" showColumnStripes="0" showFirstColumn="1" showLastColumn="1" showRowStripes="1"/>
</table>
</file>

<file path=xl/tables/table7.xml><?xml version="1.0" encoding="utf-8"?>
<table xmlns="http://schemas.openxmlformats.org/spreadsheetml/2006/main" ref="A1:G13" displayName="Table_7" name="Table_7" id="7">
  <tableColumns count="7">
    <tableColumn name="Statement PDF" id="1"/>
    <tableColumn name="Parsed Purchase/Debits" id="2"/>
    <tableColumn name="Statement Purchase/Debits" id="3"/>
    <tableColumn name="Debit Difference" id="4"/>
    <tableColumn name="Parsed Payment/Credits" id="5"/>
    <tableColumn name="Statement Payment/Credits" id="6"/>
    <tableColumn name="Credit Difference" id="7"/>
  </tableColumns>
  <tableStyleInfo name="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28.0"/>
    <col customWidth="1" min="3" max="3" width="48.0"/>
    <col customWidth="1" min="4" max="4" width="8.5"/>
    <col customWidth="1" min="5" max="5" width="6.88"/>
    <col customWidth="1" min="6" max="6" width="8.13"/>
    <col customWidth="1" min="7" max="7" width="8.63"/>
    <col customWidth="1" min="8" max="8" width="30.0"/>
    <col customWidth="1" min="9" max="9" width="28.0"/>
    <col customWidth="1" min="10" max="10" width="10.13"/>
    <col customWidth="1" min="11" max="11" width="7.38"/>
    <col customWidth="1" min="12" max="12" width="8.5"/>
    <col customWidth="1" min="13" max="13" width="6.88"/>
    <col customWidth="1" min="14" max="15" width="30.0"/>
    <col customWidth="1" min="16" max="16" width="8.5"/>
    <col customWidth="1" min="17" max="26" width="8.63"/>
  </cols>
  <sheetData>
    <row r="1" ht="18.75" customHeight="1">
      <c r="A1" s="1" t="s">
        <v>0</v>
      </c>
    </row>
    <row r="2" ht="15.0" customHeight="1">
      <c r="A2" s="2" t="s">
        <v>1</v>
      </c>
    </row>
    <row r="4" ht="15.0" customHeight="1">
      <c r="A4" s="3" t="s">
        <v>2</v>
      </c>
      <c r="B4" s="3" t="s">
        <v>3</v>
      </c>
      <c r="C4" s="3" t="s">
        <v>4</v>
      </c>
      <c r="O4" s="3" t="s">
        <v>5</v>
      </c>
      <c r="P4" s="3" t="s">
        <v>6</v>
      </c>
    </row>
    <row r="5" ht="15.0" customHeight="1">
      <c r="A5" s="2" t="s">
        <v>7</v>
      </c>
      <c r="B5" s="4">
        <f>SUM(Transactions!K2:K476)</f>
        <v>1548630.69</v>
      </c>
      <c r="C5" s="2" t="s">
        <v>8</v>
      </c>
      <c r="O5" s="5" t="s">
        <v>9</v>
      </c>
      <c r="P5" s="6">
        <v>415055.3</v>
      </c>
    </row>
    <row r="6" ht="15.0" customHeight="1">
      <c r="A6" s="2" t="s">
        <v>10</v>
      </c>
      <c r="B6" s="4">
        <f>SUM(Transactions!L2:L476)</f>
        <v>26242.46</v>
      </c>
      <c r="C6" s="2" t="s">
        <v>11</v>
      </c>
      <c r="O6" s="5" t="s">
        <v>12</v>
      </c>
      <c r="P6" s="6">
        <v>219857.0</v>
      </c>
    </row>
    <row r="7" ht="15.0" customHeight="1">
      <c r="A7" s="2" t="s">
        <v>13</v>
      </c>
      <c r="B7" s="4">
        <f>SUM(Transactions!M2:M476)</f>
        <v>1522388.23</v>
      </c>
      <c r="C7" s="2" t="s">
        <v>14</v>
      </c>
      <c r="O7" s="5" t="s">
        <v>15</v>
      </c>
      <c r="P7" s="6">
        <v>211994.5</v>
      </c>
    </row>
    <row r="8" ht="15.0" customHeight="1">
      <c r="A8" s="2" t="s">
        <v>16</v>
      </c>
      <c r="B8" s="4">
        <f>-SUMIFS(Transactions!J2:J476,Transactions!I2:I476,"Bill Payment/Credit")</f>
        <v>1349006</v>
      </c>
      <c r="C8" s="2" t="s">
        <v>17</v>
      </c>
      <c r="O8" s="5" t="s">
        <v>18</v>
      </c>
      <c r="P8" s="6">
        <v>174409.56</v>
      </c>
    </row>
    <row r="9" ht="15.0" customHeight="1">
      <c r="A9" s="2" t="s">
        <v>19</v>
      </c>
      <c r="B9" s="2">
        <f>COUNTA(Transactions!A2:A476)</f>
        <v>475</v>
      </c>
      <c r="C9" s="2" t="s">
        <v>20</v>
      </c>
      <c r="O9" s="5" t="s">
        <v>21</v>
      </c>
      <c r="P9" s="6">
        <v>118558.18</v>
      </c>
    </row>
    <row r="10" ht="15.0" customHeight="1">
      <c r="A10" s="2" t="s">
        <v>22</v>
      </c>
      <c r="B10" s="2" t="s">
        <v>23</v>
      </c>
      <c r="C10" s="2" t="s">
        <v>24</v>
      </c>
      <c r="O10" s="5" t="s">
        <v>25</v>
      </c>
      <c r="P10" s="6">
        <v>83700.0</v>
      </c>
    </row>
    <row r="11" ht="15.0" customHeight="1">
      <c r="O11" s="5" t="s">
        <v>26</v>
      </c>
      <c r="P11" s="6">
        <v>59800.0</v>
      </c>
    </row>
    <row r="12" ht="15.0" customHeight="1">
      <c r="A12" s="7" t="s">
        <v>27</v>
      </c>
      <c r="H12" s="7" t="s">
        <v>28</v>
      </c>
      <c r="O12" s="5" t="s">
        <v>29</v>
      </c>
      <c r="P12" s="6">
        <v>49186.1</v>
      </c>
    </row>
    <row r="13" ht="15.0" customHeight="1">
      <c r="O13" s="5" t="s">
        <v>30</v>
      </c>
      <c r="P13" s="6">
        <v>37502.7</v>
      </c>
    </row>
    <row r="14" ht="15.0" customHeight="1">
      <c r="A14" s="3" t="s">
        <v>5</v>
      </c>
      <c r="B14" s="8" t="s">
        <v>31</v>
      </c>
      <c r="C14" s="8" t="s">
        <v>32</v>
      </c>
      <c r="D14" s="8" t="s">
        <v>6</v>
      </c>
      <c r="E14" s="9" t="s">
        <v>33</v>
      </c>
      <c r="F14" s="3" t="s">
        <v>34</v>
      </c>
      <c r="H14" s="3" t="s">
        <v>35</v>
      </c>
      <c r="I14" s="3" t="s">
        <v>5</v>
      </c>
      <c r="J14" s="8" t="s">
        <v>31</v>
      </c>
      <c r="K14" s="8" t="s">
        <v>32</v>
      </c>
      <c r="L14" s="8" t="s">
        <v>6</v>
      </c>
      <c r="M14" s="9" t="s">
        <v>33</v>
      </c>
      <c r="O14" s="5" t="s">
        <v>36</v>
      </c>
      <c r="P14" s="6">
        <v>30091.5</v>
      </c>
    </row>
    <row r="15" ht="15.0" customHeight="1">
      <c r="A15" s="5" t="s">
        <v>9</v>
      </c>
      <c r="B15" s="10">
        <v>418897.3</v>
      </c>
      <c r="C15" s="10">
        <v>3842.0</v>
      </c>
      <c r="D15" s="10">
        <v>415055.3</v>
      </c>
      <c r="E15" s="11">
        <v>0.2726343332278653</v>
      </c>
      <c r="F15" s="5">
        <v>33.0</v>
      </c>
      <c r="H15" s="5" t="s">
        <v>37</v>
      </c>
      <c r="I15" s="5" t="s">
        <v>9</v>
      </c>
      <c r="J15" s="10">
        <v>267896.0</v>
      </c>
      <c r="K15" s="10">
        <v>0.0</v>
      </c>
      <c r="L15" s="10">
        <v>267896.0</v>
      </c>
      <c r="M15" s="11">
        <v>0.17597088227619836</v>
      </c>
    </row>
    <row r="16" ht="15.0" customHeight="1">
      <c r="A16" s="5" t="s">
        <v>12</v>
      </c>
      <c r="B16" s="10">
        <v>219857.0</v>
      </c>
      <c r="C16" s="10">
        <v>0.0</v>
      </c>
      <c r="D16" s="10">
        <v>219857.0</v>
      </c>
      <c r="E16" s="11">
        <v>0.1444158563942655</v>
      </c>
      <c r="F16" s="5">
        <v>3.0</v>
      </c>
      <c r="H16" s="5" t="s">
        <v>38</v>
      </c>
      <c r="I16" s="5" t="s">
        <v>12</v>
      </c>
      <c r="J16" s="10">
        <v>195231.0</v>
      </c>
      <c r="K16" s="10">
        <v>0.0</v>
      </c>
      <c r="L16" s="10">
        <v>195231.0</v>
      </c>
      <c r="M16" s="11">
        <v>0.12823995624296175</v>
      </c>
    </row>
    <row r="17" ht="15.0" customHeight="1">
      <c r="A17" s="5" t="s">
        <v>15</v>
      </c>
      <c r="B17" s="10">
        <v>223706.06</v>
      </c>
      <c r="C17" s="10">
        <v>11711.56</v>
      </c>
      <c r="D17" s="10">
        <v>211994.5</v>
      </c>
      <c r="E17" s="11">
        <v>0.13925127363865655</v>
      </c>
      <c r="F17" s="5">
        <v>59.0</v>
      </c>
      <c r="H17" s="5" t="s">
        <v>39</v>
      </c>
      <c r="I17" s="5" t="s">
        <v>15</v>
      </c>
      <c r="J17" s="10">
        <v>148903.74</v>
      </c>
      <c r="K17" s="10">
        <v>0.0</v>
      </c>
      <c r="L17" s="10">
        <v>148903.74</v>
      </c>
      <c r="M17" s="11">
        <v>0.09780930847054697</v>
      </c>
    </row>
    <row r="18" ht="15.0" customHeight="1">
      <c r="A18" s="5" t="s">
        <v>18</v>
      </c>
      <c r="B18" s="10">
        <v>175803.56</v>
      </c>
      <c r="C18" s="10">
        <v>1394.0</v>
      </c>
      <c r="D18" s="10">
        <v>174409.56</v>
      </c>
      <c r="E18" s="11">
        <v>0.114563129537595</v>
      </c>
      <c r="F18" s="5">
        <v>172.0</v>
      </c>
      <c r="H18" s="5" t="s">
        <v>40</v>
      </c>
      <c r="I18" s="5" t="s">
        <v>21</v>
      </c>
      <c r="J18" s="10">
        <v>111127.18</v>
      </c>
      <c r="K18" s="10">
        <v>1714.0</v>
      </c>
      <c r="L18" s="10">
        <v>109413.18</v>
      </c>
      <c r="M18" s="11">
        <v>0.07186943372519375</v>
      </c>
    </row>
    <row r="19" ht="15.0" customHeight="1">
      <c r="A19" s="5" t="s">
        <v>21</v>
      </c>
      <c r="B19" s="10">
        <v>120272.18</v>
      </c>
      <c r="C19" s="10">
        <v>1714.0</v>
      </c>
      <c r="D19" s="10">
        <v>118558.18</v>
      </c>
      <c r="E19" s="11">
        <v>0.07787644285715478</v>
      </c>
      <c r="F19" s="5">
        <v>29.0</v>
      </c>
      <c r="H19" s="5" t="s">
        <v>41</v>
      </c>
      <c r="I19" s="5" t="s">
        <v>18</v>
      </c>
      <c r="J19" s="10">
        <v>107800.24</v>
      </c>
      <c r="K19" s="10">
        <v>1394.0</v>
      </c>
      <c r="L19" s="10">
        <v>106406.24</v>
      </c>
      <c r="M19" s="11">
        <v>0.06989428708339396</v>
      </c>
    </row>
    <row r="20" ht="15.0" customHeight="1">
      <c r="A20" s="5" t="s">
        <v>25</v>
      </c>
      <c r="B20" s="10">
        <v>83700.0</v>
      </c>
      <c r="C20" s="10">
        <v>0.0</v>
      </c>
      <c r="D20" s="10">
        <v>83700.0</v>
      </c>
      <c r="E20" s="11">
        <v>0.05497940561455865</v>
      </c>
      <c r="F20" s="5">
        <v>4.0</v>
      </c>
      <c r="H20" s="5" t="s">
        <v>25</v>
      </c>
      <c r="I20" s="5" t="s">
        <v>25</v>
      </c>
      <c r="J20" s="10">
        <v>83700.0</v>
      </c>
      <c r="K20" s="10">
        <v>0.0</v>
      </c>
      <c r="L20" s="10">
        <v>83700.0</v>
      </c>
      <c r="M20" s="11">
        <v>0.05497940561455865</v>
      </c>
    </row>
    <row r="21" ht="15.0" customHeight="1">
      <c r="A21" s="5" t="s">
        <v>26</v>
      </c>
      <c r="B21" s="10">
        <v>59802.0</v>
      </c>
      <c r="C21" s="10">
        <v>2.0</v>
      </c>
      <c r="D21" s="10">
        <v>59800.0</v>
      </c>
      <c r="E21" s="11">
        <v>0.03928038776285074</v>
      </c>
      <c r="F21" s="5">
        <v>4.0</v>
      </c>
      <c r="H21" s="5" t="s">
        <v>42</v>
      </c>
      <c r="I21" s="5" t="s">
        <v>18</v>
      </c>
      <c r="J21" s="10">
        <v>68003.32</v>
      </c>
      <c r="K21" s="10">
        <v>0.0</v>
      </c>
      <c r="L21" s="10">
        <v>68003.32</v>
      </c>
      <c r="M21" s="11">
        <v>0.04466884245420105</v>
      </c>
    </row>
    <row r="22" ht="15.0" customHeight="1">
      <c r="A22" s="5" t="s">
        <v>29</v>
      </c>
      <c r="B22" s="10">
        <v>49186.1</v>
      </c>
      <c r="C22" s="10">
        <v>0.0</v>
      </c>
      <c r="D22" s="10">
        <v>49186.1</v>
      </c>
      <c r="E22" s="11">
        <v>0.03230851305254771</v>
      </c>
      <c r="F22" s="5">
        <v>52.0</v>
      </c>
      <c r="H22" s="5" t="s">
        <v>43</v>
      </c>
      <c r="I22" s="5" t="s">
        <v>26</v>
      </c>
      <c r="J22" s="10">
        <v>59802.0</v>
      </c>
      <c r="K22" s="10">
        <v>2.0</v>
      </c>
      <c r="L22" s="10">
        <v>59800.0</v>
      </c>
      <c r="M22" s="11">
        <v>0.03928038776285074</v>
      </c>
    </row>
    <row r="23" ht="15.0" customHeight="1">
      <c r="A23" s="5" t="s">
        <v>30</v>
      </c>
      <c r="B23" s="10">
        <v>37502.7</v>
      </c>
      <c r="C23" s="10">
        <v>0.0</v>
      </c>
      <c r="D23" s="10">
        <v>37502.7</v>
      </c>
      <c r="E23" s="11">
        <v>0.024634123714947533</v>
      </c>
      <c r="F23" s="5">
        <v>36.0</v>
      </c>
      <c r="H23" s="5" t="s">
        <v>44</v>
      </c>
      <c r="I23" s="5" t="s">
        <v>29</v>
      </c>
      <c r="J23" s="10">
        <v>49186.1</v>
      </c>
      <c r="K23" s="10">
        <v>0.0</v>
      </c>
      <c r="L23" s="10">
        <v>49186.1</v>
      </c>
      <c r="M23" s="11">
        <v>0.03230851305254771</v>
      </c>
    </row>
    <row r="24" ht="15.0" customHeight="1">
      <c r="A24" s="5" t="s">
        <v>36</v>
      </c>
      <c r="B24" s="10">
        <v>30091.5</v>
      </c>
      <c r="C24" s="10">
        <v>0.0</v>
      </c>
      <c r="D24" s="10">
        <v>30091.5</v>
      </c>
      <c r="E24" s="11">
        <v>0.01976598308304052</v>
      </c>
      <c r="F24" s="5">
        <v>5.0</v>
      </c>
      <c r="H24" s="5" t="s">
        <v>45</v>
      </c>
      <c r="I24" s="5" t="s">
        <v>15</v>
      </c>
      <c r="J24" s="10">
        <v>59789.32</v>
      </c>
      <c r="K24" s="10">
        <v>11711.56</v>
      </c>
      <c r="L24" s="10">
        <v>48077.76</v>
      </c>
      <c r="M24" s="11">
        <v>0.03158048587908486</v>
      </c>
    </row>
    <row r="25" ht="15.0" customHeight="1">
      <c r="A25" s="5" t="s">
        <v>46</v>
      </c>
      <c r="B25" s="10">
        <v>31013.0</v>
      </c>
      <c r="C25" s="10">
        <v>4722.0</v>
      </c>
      <c r="D25" s="10">
        <v>26291.0</v>
      </c>
      <c r="E25" s="11">
        <v>0.017269576499550316</v>
      </c>
      <c r="F25" s="5">
        <v>7.0</v>
      </c>
      <c r="H25" s="5" t="s">
        <v>47</v>
      </c>
      <c r="I25" s="5" t="s">
        <v>9</v>
      </c>
      <c r="J25" s="10">
        <v>46474.0</v>
      </c>
      <c r="K25" s="10">
        <v>0.0</v>
      </c>
      <c r="L25" s="10">
        <v>46474.0</v>
      </c>
      <c r="M25" s="11">
        <v>0.03052703580084825</v>
      </c>
    </row>
    <row r="26" ht="15.0" customHeight="1">
      <c r="A26" s="5" t="s">
        <v>48</v>
      </c>
      <c r="B26" s="10">
        <v>21556.0</v>
      </c>
      <c r="C26" s="10">
        <v>0.0</v>
      </c>
      <c r="D26" s="10">
        <v>21556.0</v>
      </c>
      <c r="E26" s="11">
        <v>0.014159331749431615</v>
      </c>
      <c r="F26" s="5">
        <v>1.0</v>
      </c>
      <c r="H26" s="5" t="s">
        <v>49</v>
      </c>
      <c r="I26" s="5" t="s">
        <v>9</v>
      </c>
      <c r="J26" s="10">
        <v>34040.0</v>
      </c>
      <c r="K26" s="10">
        <v>0.0</v>
      </c>
      <c r="L26" s="10">
        <v>34040.0</v>
      </c>
      <c r="M26" s="11">
        <v>0.022359605341930423</v>
      </c>
    </row>
    <row r="27" ht="15.0" customHeight="1">
      <c r="A27" s="5" t="s">
        <v>50</v>
      </c>
      <c r="B27" s="10">
        <v>18503.57</v>
      </c>
      <c r="C27" s="10">
        <v>0.0</v>
      </c>
      <c r="D27" s="10">
        <v>18503.57</v>
      </c>
      <c r="E27" s="11">
        <v>0.012154304424699868</v>
      </c>
      <c r="F27" s="5">
        <v>9.0</v>
      </c>
      <c r="H27" s="5" t="s">
        <v>51</v>
      </c>
      <c r="I27" s="5" t="s">
        <v>30</v>
      </c>
      <c r="J27" s="10">
        <v>33671.0</v>
      </c>
      <c r="K27" s="10">
        <v>0.0</v>
      </c>
      <c r="L27" s="10">
        <v>33671.0</v>
      </c>
      <c r="M27" s="11">
        <v>0.022117223016102798</v>
      </c>
    </row>
    <row r="28" ht="15.0" customHeight="1">
      <c r="A28" s="5" t="s">
        <v>52</v>
      </c>
      <c r="B28" s="10">
        <v>20767.68</v>
      </c>
      <c r="C28" s="10">
        <v>2572.9</v>
      </c>
      <c r="D28" s="10">
        <v>18194.78</v>
      </c>
      <c r="E28" s="11">
        <v>0.011951471800330458</v>
      </c>
      <c r="F28" s="5">
        <v>12.0</v>
      </c>
      <c r="H28" s="5" t="s">
        <v>53</v>
      </c>
      <c r="I28" s="5" t="s">
        <v>36</v>
      </c>
      <c r="J28" s="10">
        <v>30091.5</v>
      </c>
      <c r="K28" s="10">
        <v>0.0</v>
      </c>
      <c r="L28" s="10">
        <v>30091.5</v>
      </c>
      <c r="M28" s="11">
        <v>0.01976598308304052</v>
      </c>
    </row>
    <row r="29" ht="15.0" customHeight="1">
      <c r="A29" s="5" t="s">
        <v>54</v>
      </c>
      <c r="B29" s="10">
        <v>14106.0</v>
      </c>
      <c r="C29" s="10">
        <v>0.0</v>
      </c>
      <c r="D29" s="10">
        <v>14106.0</v>
      </c>
      <c r="E29" s="11">
        <v>0.009265704845865762</v>
      </c>
      <c r="F29" s="5">
        <v>5.0</v>
      </c>
      <c r="H29" s="5" t="s">
        <v>55</v>
      </c>
      <c r="I29" s="5" t="s">
        <v>46</v>
      </c>
      <c r="J29" s="10">
        <v>31013.0</v>
      </c>
      <c r="K29" s="10">
        <v>4722.0</v>
      </c>
      <c r="L29" s="10">
        <v>26291.0</v>
      </c>
      <c r="M29" s="11">
        <v>0.017269576499550316</v>
      </c>
    </row>
    <row r="30" ht="15.0" customHeight="1">
      <c r="A30" s="5" t="s">
        <v>56</v>
      </c>
      <c r="B30" s="10">
        <v>10691.0</v>
      </c>
      <c r="C30" s="10">
        <v>0.0</v>
      </c>
      <c r="D30" s="10">
        <v>10691.0</v>
      </c>
      <c r="E30" s="11">
        <v>0.007022518822284904</v>
      </c>
      <c r="F30" s="5">
        <v>6.0</v>
      </c>
      <c r="H30" s="5" t="s">
        <v>57</v>
      </c>
      <c r="I30" s="5" t="s">
        <v>12</v>
      </c>
      <c r="J30" s="10">
        <v>24626.0</v>
      </c>
      <c r="K30" s="10">
        <v>0.0</v>
      </c>
      <c r="L30" s="10">
        <v>24626.0</v>
      </c>
      <c r="M30" s="11">
        <v>0.01617590015130372</v>
      </c>
    </row>
    <row r="31" ht="15.0" customHeight="1">
      <c r="A31" s="5" t="s">
        <v>58</v>
      </c>
      <c r="B31" s="10">
        <v>5958.96</v>
      </c>
      <c r="C31" s="10">
        <v>0.0</v>
      </c>
      <c r="D31" s="10">
        <v>5958.96</v>
      </c>
      <c r="E31" s="11">
        <v>0.003914218385674199</v>
      </c>
      <c r="F31" s="5">
        <v>5.0</v>
      </c>
      <c r="H31" s="5" t="s">
        <v>59</v>
      </c>
      <c r="I31" s="5" t="s">
        <v>9</v>
      </c>
      <c r="J31" s="10">
        <v>23721.0</v>
      </c>
      <c r="K31" s="10">
        <v>0.0</v>
      </c>
      <c r="L31" s="10">
        <v>23721.0</v>
      </c>
      <c r="M31" s="11">
        <v>0.015581439433488001</v>
      </c>
    </row>
    <row r="32" ht="15.0" customHeight="1">
      <c r="A32" s="5" t="s">
        <v>60</v>
      </c>
      <c r="B32" s="10">
        <v>4500.0</v>
      </c>
      <c r="C32" s="10">
        <v>0.0</v>
      </c>
      <c r="D32" s="10">
        <v>4500.0</v>
      </c>
      <c r="E32" s="11">
        <v>0.0029558820222880993</v>
      </c>
      <c r="F32" s="5">
        <v>2.0</v>
      </c>
      <c r="H32" s="5" t="s">
        <v>61</v>
      </c>
      <c r="I32" s="5" t="s">
        <v>48</v>
      </c>
      <c r="J32" s="10">
        <v>21556.0</v>
      </c>
      <c r="K32" s="10">
        <v>0.0</v>
      </c>
      <c r="L32" s="10">
        <v>21556.0</v>
      </c>
      <c r="M32" s="11">
        <v>0.014159331749431615</v>
      </c>
    </row>
    <row r="33" ht="15.0" customHeight="1">
      <c r="A33" s="5" t="s">
        <v>62</v>
      </c>
      <c r="B33" s="10">
        <v>2387.0</v>
      </c>
      <c r="C33" s="10">
        <v>284.0</v>
      </c>
      <c r="D33" s="10">
        <v>2103.0</v>
      </c>
      <c r="E33" s="11">
        <v>0.0013813821984159718</v>
      </c>
      <c r="F33" s="5">
        <v>5.0</v>
      </c>
      <c r="H33" s="5" t="s">
        <v>63</v>
      </c>
      <c r="I33" s="5" t="s">
        <v>9</v>
      </c>
      <c r="J33" s="10">
        <v>25221.08</v>
      </c>
      <c r="K33" s="10">
        <v>3840.0</v>
      </c>
      <c r="L33" s="10">
        <v>21381.08</v>
      </c>
      <c r="M33" s="11">
        <v>0.01404443333091192</v>
      </c>
    </row>
    <row r="34" ht="15.0" customHeight="1">
      <c r="A34" s="5" t="s">
        <v>64</v>
      </c>
      <c r="B34" s="10">
        <v>329.08</v>
      </c>
      <c r="C34" s="10">
        <v>0.0</v>
      </c>
      <c r="D34" s="10">
        <v>329.08</v>
      </c>
      <c r="E34" s="11">
        <v>2.1616036797657056E-4</v>
      </c>
      <c r="F34" s="5">
        <v>14.0</v>
      </c>
      <c r="H34" s="5" t="s">
        <v>65</v>
      </c>
      <c r="I34" s="5" t="s">
        <v>52</v>
      </c>
      <c r="J34" s="10">
        <v>20767.68</v>
      </c>
      <c r="K34" s="10">
        <v>2572.9</v>
      </c>
      <c r="L34" s="10">
        <v>18194.78</v>
      </c>
      <c r="M34" s="11">
        <v>0.011951471800330458</v>
      </c>
    </row>
    <row r="35" ht="15.0" customHeight="1">
      <c r="B35" s="10"/>
      <c r="C35" s="10"/>
      <c r="D35" s="10"/>
      <c r="E35" s="11"/>
      <c r="J35" s="10"/>
      <c r="K35" s="10"/>
      <c r="L35" s="10"/>
      <c r="M35" s="11"/>
    </row>
    <row r="36" ht="15.0" customHeight="1">
      <c r="B36" s="10"/>
      <c r="C36" s="10"/>
      <c r="D36" s="10"/>
      <c r="E36" s="11"/>
      <c r="J36" s="10"/>
      <c r="K36" s="10"/>
      <c r="L36" s="10"/>
      <c r="M36" s="11"/>
    </row>
    <row r="37" ht="15.0" customHeight="1">
      <c r="B37" s="10"/>
      <c r="C37" s="10"/>
      <c r="D37" s="10"/>
      <c r="E37" s="11"/>
      <c r="J37" s="10"/>
      <c r="K37" s="10"/>
      <c r="L37" s="10"/>
      <c r="M37" s="11"/>
    </row>
    <row r="38" ht="15.0" customHeight="1">
      <c r="B38" s="10"/>
      <c r="C38" s="10"/>
      <c r="D38" s="10"/>
      <c r="E38" s="11"/>
      <c r="J38" s="10"/>
      <c r="K38" s="10"/>
      <c r="L38" s="10"/>
      <c r="M38" s="11"/>
    </row>
    <row r="39" ht="15.0" customHeight="1">
      <c r="B39" s="10"/>
      <c r="C39" s="10"/>
      <c r="D39" s="10"/>
      <c r="E39" s="11"/>
      <c r="J39" s="10"/>
      <c r="K39" s="10"/>
      <c r="L39" s="10"/>
      <c r="M39" s="11"/>
    </row>
    <row r="40" ht="15.0" customHeight="1">
      <c r="B40" s="10"/>
      <c r="C40" s="10"/>
      <c r="D40" s="10"/>
      <c r="E40" s="11"/>
      <c r="J40" s="10"/>
      <c r="K40" s="10"/>
      <c r="L40" s="10"/>
      <c r="M40" s="1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12:F12"/>
    <mergeCell ref="H12:M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7.0"/>
    <col customWidth="1" min="3" max="3" width="17.25"/>
    <col customWidth="1" min="4" max="4" width="13.75"/>
    <col customWidth="1" min="5" max="5" width="36.0"/>
    <col customWidth="1" min="6" max="6" width="30.0"/>
    <col customWidth="1" min="7" max="7" width="34.0"/>
    <col customWidth="1" min="8" max="8" width="33.63"/>
    <col customWidth="1" min="9" max="9" width="18.75"/>
    <col customWidth="1" min="10" max="10" width="9.25"/>
    <col customWidth="1" min="11" max="11" width="12.75"/>
    <col customWidth="1" min="12" max="12" width="16.25"/>
    <col customWidth="1" min="13" max="13" width="12.75"/>
    <col customWidth="1" min="14" max="14" width="11.88"/>
    <col customWidth="1" min="15" max="15" width="42.0"/>
    <col customWidth="1" min="16" max="26" width="8.63"/>
  </cols>
  <sheetData>
    <row r="1" ht="15.0" customHeight="1">
      <c r="A1" s="12" t="s">
        <v>66</v>
      </c>
      <c r="B1" s="12" t="s">
        <v>67</v>
      </c>
      <c r="C1" s="12" t="s">
        <v>68</v>
      </c>
      <c r="D1" s="12" t="s">
        <v>69</v>
      </c>
      <c r="E1" s="12" t="s">
        <v>70</v>
      </c>
      <c r="F1" s="12" t="s">
        <v>35</v>
      </c>
      <c r="G1" s="12" t="s">
        <v>5</v>
      </c>
      <c r="H1" s="12" t="s">
        <v>71</v>
      </c>
      <c r="I1" s="12" t="s">
        <v>72</v>
      </c>
      <c r="J1" s="12" t="s">
        <v>73</v>
      </c>
      <c r="K1" s="12" t="s">
        <v>31</v>
      </c>
      <c r="L1" s="12" t="s">
        <v>74</v>
      </c>
      <c r="M1" s="12" t="s">
        <v>75</v>
      </c>
      <c r="N1" s="12" t="s">
        <v>76</v>
      </c>
      <c r="O1" s="12" t="s">
        <v>4</v>
      </c>
    </row>
    <row r="2" ht="15.0" customHeight="1">
      <c r="A2" s="13">
        <v>45748.0</v>
      </c>
      <c r="B2" s="14" t="s">
        <v>77</v>
      </c>
      <c r="C2" s="14" t="s">
        <v>78</v>
      </c>
      <c r="D2" s="14" t="s">
        <v>79</v>
      </c>
      <c r="E2" s="15" t="s">
        <v>80</v>
      </c>
      <c r="F2" s="15" t="s">
        <v>51</v>
      </c>
      <c r="G2" s="15" t="s">
        <v>30</v>
      </c>
      <c r="H2" s="15" t="s">
        <v>81</v>
      </c>
      <c r="I2" s="14" t="s">
        <v>82</v>
      </c>
      <c r="J2" s="16">
        <v>649.0</v>
      </c>
      <c r="K2" s="16">
        <v>649.0</v>
      </c>
      <c r="L2" s="16">
        <v>0.0</v>
      </c>
      <c r="M2" s="16">
        <v>649.0</v>
      </c>
      <c r="N2" s="14" t="s">
        <v>83</v>
      </c>
      <c r="O2" s="15"/>
    </row>
    <row r="3" ht="15.0" customHeight="1">
      <c r="A3" s="13">
        <v>45752.0</v>
      </c>
      <c r="B3" s="14" t="s">
        <v>84</v>
      </c>
      <c r="C3" s="14" t="s">
        <v>78</v>
      </c>
      <c r="D3" s="14" t="s">
        <v>79</v>
      </c>
      <c r="E3" s="15" t="s">
        <v>85</v>
      </c>
      <c r="F3" s="15" t="s">
        <v>86</v>
      </c>
      <c r="G3" s="15" t="s">
        <v>30</v>
      </c>
      <c r="H3" s="15" t="s">
        <v>87</v>
      </c>
      <c r="I3" s="14" t="s">
        <v>82</v>
      </c>
      <c r="J3" s="16">
        <v>1960.0</v>
      </c>
      <c r="K3" s="16">
        <v>1960.0</v>
      </c>
      <c r="L3" s="16">
        <v>0.0</v>
      </c>
      <c r="M3" s="16">
        <v>1960.0</v>
      </c>
      <c r="N3" s="14" t="s">
        <v>83</v>
      </c>
      <c r="O3" s="15"/>
    </row>
    <row r="4" ht="15.0" customHeight="1">
      <c r="A4" s="13">
        <v>45752.0</v>
      </c>
      <c r="B4" s="14" t="s">
        <v>88</v>
      </c>
      <c r="C4" s="14" t="s">
        <v>78</v>
      </c>
      <c r="D4" s="14" t="s">
        <v>79</v>
      </c>
      <c r="E4" s="15" t="s">
        <v>89</v>
      </c>
      <c r="F4" s="15" t="s">
        <v>37</v>
      </c>
      <c r="G4" s="15" t="s">
        <v>9</v>
      </c>
      <c r="H4" s="15" t="s">
        <v>90</v>
      </c>
      <c r="I4" s="14" t="s">
        <v>82</v>
      </c>
      <c r="J4" s="16">
        <v>8475.0</v>
      </c>
      <c r="K4" s="16">
        <v>8475.0</v>
      </c>
      <c r="L4" s="16">
        <v>0.0</v>
      </c>
      <c r="M4" s="16">
        <v>8475.0</v>
      </c>
      <c r="N4" s="14" t="s">
        <v>83</v>
      </c>
      <c r="O4" s="15"/>
    </row>
    <row r="5" ht="15.0" customHeight="1">
      <c r="A5" s="13">
        <v>45752.0</v>
      </c>
      <c r="B5" s="14" t="s">
        <v>91</v>
      </c>
      <c r="C5" s="14" t="s">
        <v>78</v>
      </c>
      <c r="D5" s="14" t="s">
        <v>79</v>
      </c>
      <c r="E5" s="15" t="s">
        <v>92</v>
      </c>
      <c r="F5" s="15" t="s">
        <v>51</v>
      </c>
      <c r="G5" s="15" t="s">
        <v>30</v>
      </c>
      <c r="H5" s="15" t="s">
        <v>81</v>
      </c>
      <c r="I5" s="14" t="s">
        <v>82</v>
      </c>
      <c r="J5" s="16">
        <v>299.0</v>
      </c>
      <c r="K5" s="16">
        <v>299.0</v>
      </c>
      <c r="L5" s="16">
        <v>0.0</v>
      </c>
      <c r="M5" s="16">
        <v>299.0</v>
      </c>
      <c r="N5" s="14" t="s">
        <v>83</v>
      </c>
      <c r="O5" s="15"/>
    </row>
    <row r="6" ht="15.0" customHeight="1">
      <c r="A6" s="13">
        <v>45753.0</v>
      </c>
      <c r="B6" s="14" t="s">
        <v>93</v>
      </c>
      <c r="C6" s="14" t="s">
        <v>78</v>
      </c>
      <c r="D6" s="14" t="s">
        <v>79</v>
      </c>
      <c r="E6" s="15" t="s">
        <v>94</v>
      </c>
      <c r="F6" s="15" t="s">
        <v>95</v>
      </c>
      <c r="G6" s="15" t="s">
        <v>58</v>
      </c>
      <c r="H6" s="15" t="s">
        <v>96</v>
      </c>
      <c r="I6" s="14" t="s">
        <v>82</v>
      </c>
      <c r="J6" s="16">
        <v>823.64</v>
      </c>
      <c r="K6" s="16">
        <v>823.64</v>
      </c>
      <c r="L6" s="16">
        <v>0.0</v>
      </c>
      <c r="M6" s="16">
        <v>823.64</v>
      </c>
      <c r="N6" s="14" t="s">
        <v>97</v>
      </c>
      <c r="O6" s="15" t="s">
        <v>98</v>
      </c>
    </row>
    <row r="7" ht="15.0" customHeight="1">
      <c r="A7" s="13">
        <v>45754.0</v>
      </c>
      <c r="B7" s="14" t="s">
        <v>99</v>
      </c>
      <c r="C7" s="14" t="s">
        <v>78</v>
      </c>
      <c r="D7" s="14" t="s">
        <v>79</v>
      </c>
      <c r="E7" s="15" t="s">
        <v>100</v>
      </c>
      <c r="F7" s="15" t="s">
        <v>101</v>
      </c>
      <c r="G7" s="15" t="s">
        <v>102</v>
      </c>
      <c r="H7" s="15" t="s">
        <v>101</v>
      </c>
      <c r="I7" s="14" t="s">
        <v>103</v>
      </c>
      <c r="J7" s="16">
        <v>-29757.0</v>
      </c>
      <c r="K7" s="16">
        <v>0.0</v>
      </c>
      <c r="L7" s="16">
        <v>0.0</v>
      </c>
      <c r="M7" s="16">
        <v>0.0</v>
      </c>
      <c r="N7" s="14" t="s">
        <v>83</v>
      </c>
      <c r="O7" s="15" t="s">
        <v>104</v>
      </c>
    </row>
    <row r="8" ht="15.0" customHeight="1">
      <c r="A8" s="13">
        <v>45763.0</v>
      </c>
      <c r="B8" s="14" t="s">
        <v>105</v>
      </c>
      <c r="C8" s="14" t="s">
        <v>78</v>
      </c>
      <c r="D8" s="14" t="s">
        <v>79</v>
      </c>
      <c r="E8" s="15" t="s">
        <v>106</v>
      </c>
      <c r="F8" s="15" t="s">
        <v>59</v>
      </c>
      <c r="G8" s="15" t="s">
        <v>9</v>
      </c>
      <c r="H8" s="15" t="s">
        <v>90</v>
      </c>
      <c r="I8" s="14" t="s">
        <v>82</v>
      </c>
      <c r="J8" s="16">
        <v>9323.0</v>
      </c>
      <c r="K8" s="16">
        <v>9323.0</v>
      </c>
      <c r="L8" s="16">
        <v>0.0</v>
      </c>
      <c r="M8" s="16">
        <v>9323.0</v>
      </c>
      <c r="N8" s="14" t="s">
        <v>83</v>
      </c>
      <c r="O8" s="15"/>
    </row>
    <row r="9" ht="15.0" customHeight="1">
      <c r="A9" s="13">
        <v>45764.0</v>
      </c>
      <c r="B9" s="14" t="s">
        <v>107</v>
      </c>
      <c r="C9" s="14" t="s">
        <v>78</v>
      </c>
      <c r="D9" s="14" t="s">
        <v>79</v>
      </c>
      <c r="E9" s="15" t="s">
        <v>108</v>
      </c>
      <c r="F9" s="15" t="s">
        <v>109</v>
      </c>
      <c r="G9" s="15" t="s">
        <v>9</v>
      </c>
      <c r="H9" s="15" t="s">
        <v>90</v>
      </c>
      <c r="I9" s="14" t="s">
        <v>82</v>
      </c>
      <c r="J9" s="16">
        <v>1900.0</v>
      </c>
      <c r="K9" s="16">
        <v>1900.0</v>
      </c>
      <c r="L9" s="16">
        <v>0.0</v>
      </c>
      <c r="M9" s="16">
        <v>1900.0</v>
      </c>
      <c r="N9" s="14" t="s">
        <v>83</v>
      </c>
      <c r="O9" s="15"/>
    </row>
    <row r="10" ht="15.0" customHeight="1">
      <c r="A10" s="13">
        <v>45764.0</v>
      </c>
      <c r="B10" s="14" t="s">
        <v>110</v>
      </c>
      <c r="C10" s="14" t="s">
        <v>78</v>
      </c>
      <c r="D10" s="14" t="s">
        <v>79</v>
      </c>
      <c r="E10" s="15" t="s">
        <v>111</v>
      </c>
      <c r="F10" s="15" t="s">
        <v>112</v>
      </c>
      <c r="G10" s="15" t="s">
        <v>50</v>
      </c>
      <c r="H10" s="15" t="s">
        <v>113</v>
      </c>
      <c r="I10" s="14" t="s">
        <v>82</v>
      </c>
      <c r="J10" s="16">
        <v>293.9</v>
      </c>
      <c r="K10" s="16">
        <v>293.9</v>
      </c>
      <c r="L10" s="16">
        <v>0.0</v>
      </c>
      <c r="M10" s="16">
        <v>293.9</v>
      </c>
      <c r="N10" s="14" t="s">
        <v>114</v>
      </c>
      <c r="O10" s="15" t="s">
        <v>115</v>
      </c>
    </row>
    <row r="11" ht="15.0" customHeight="1">
      <c r="A11" s="13">
        <v>45766.0</v>
      </c>
      <c r="B11" s="14" t="s">
        <v>116</v>
      </c>
      <c r="C11" s="14" t="s">
        <v>78</v>
      </c>
      <c r="D11" s="14" t="s">
        <v>79</v>
      </c>
      <c r="E11" s="15" t="s">
        <v>117</v>
      </c>
      <c r="F11" s="15" t="s">
        <v>44</v>
      </c>
      <c r="G11" s="15" t="s">
        <v>29</v>
      </c>
      <c r="H11" s="15" t="s">
        <v>118</v>
      </c>
      <c r="I11" s="14" t="s">
        <v>82</v>
      </c>
      <c r="J11" s="16">
        <v>36.0</v>
      </c>
      <c r="K11" s="16">
        <v>36.0</v>
      </c>
      <c r="L11" s="16">
        <v>0.0</v>
      </c>
      <c r="M11" s="16">
        <v>36.0</v>
      </c>
      <c r="N11" s="14" t="s">
        <v>83</v>
      </c>
      <c r="O11" s="15"/>
    </row>
    <row r="12" ht="15.0" customHeight="1">
      <c r="A12" s="13">
        <v>45767.0</v>
      </c>
      <c r="B12" s="14" t="s">
        <v>119</v>
      </c>
      <c r="C12" s="14" t="s">
        <v>78</v>
      </c>
      <c r="D12" s="14" t="s">
        <v>79</v>
      </c>
      <c r="E12" s="15" t="s">
        <v>120</v>
      </c>
      <c r="F12" s="15" t="s">
        <v>121</v>
      </c>
      <c r="G12" s="15" t="s">
        <v>62</v>
      </c>
      <c r="H12" s="15" t="s">
        <v>122</v>
      </c>
      <c r="I12" s="14" t="s">
        <v>82</v>
      </c>
      <c r="J12" s="16">
        <v>989.0</v>
      </c>
      <c r="K12" s="16">
        <v>989.0</v>
      </c>
      <c r="L12" s="16">
        <v>0.0</v>
      </c>
      <c r="M12" s="16">
        <v>989.0</v>
      </c>
      <c r="N12" s="14" t="s">
        <v>97</v>
      </c>
      <c r="O12" s="15" t="s">
        <v>123</v>
      </c>
    </row>
    <row r="13" ht="15.0" customHeight="1">
      <c r="A13" s="13">
        <v>45768.0</v>
      </c>
      <c r="B13" s="14" t="s">
        <v>124</v>
      </c>
      <c r="C13" s="14" t="s">
        <v>78</v>
      </c>
      <c r="D13" s="14" t="s">
        <v>79</v>
      </c>
      <c r="E13" s="15" t="s">
        <v>89</v>
      </c>
      <c r="F13" s="15" t="s">
        <v>37</v>
      </c>
      <c r="G13" s="15" t="s">
        <v>9</v>
      </c>
      <c r="H13" s="15" t="s">
        <v>90</v>
      </c>
      <c r="I13" s="14" t="s">
        <v>82</v>
      </c>
      <c r="J13" s="16">
        <v>13552.0</v>
      </c>
      <c r="K13" s="16">
        <v>13552.0</v>
      </c>
      <c r="L13" s="16">
        <v>0.0</v>
      </c>
      <c r="M13" s="16">
        <v>13552.0</v>
      </c>
      <c r="N13" s="14" t="s">
        <v>83</v>
      </c>
      <c r="O13" s="15"/>
    </row>
    <row r="14" ht="15.0" customHeight="1">
      <c r="A14" s="13">
        <v>45749.0</v>
      </c>
      <c r="B14" s="14" t="s">
        <v>125</v>
      </c>
      <c r="C14" s="14" t="s">
        <v>78</v>
      </c>
      <c r="D14" s="14" t="s">
        <v>126</v>
      </c>
      <c r="E14" s="15" t="s">
        <v>127</v>
      </c>
      <c r="F14" s="15" t="s">
        <v>42</v>
      </c>
      <c r="G14" s="15" t="s">
        <v>18</v>
      </c>
      <c r="H14" s="15" t="s">
        <v>128</v>
      </c>
      <c r="I14" s="14" t="s">
        <v>82</v>
      </c>
      <c r="J14" s="16">
        <v>177.0</v>
      </c>
      <c r="K14" s="16">
        <v>177.0</v>
      </c>
      <c r="L14" s="16">
        <v>0.0</v>
      </c>
      <c r="M14" s="16">
        <v>177.0</v>
      </c>
      <c r="N14" s="14" t="s">
        <v>83</v>
      </c>
      <c r="O14" s="15"/>
    </row>
    <row r="15" ht="15.0" customHeight="1">
      <c r="A15" s="13">
        <v>45749.0</v>
      </c>
      <c r="B15" s="14" t="s">
        <v>129</v>
      </c>
      <c r="C15" s="14" t="s">
        <v>78</v>
      </c>
      <c r="D15" s="14" t="s">
        <v>126</v>
      </c>
      <c r="E15" s="15" t="s">
        <v>130</v>
      </c>
      <c r="F15" s="15" t="s">
        <v>42</v>
      </c>
      <c r="G15" s="15" t="s">
        <v>18</v>
      </c>
      <c r="H15" s="15" t="s">
        <v>128</v>
      </c>
      <c r="I15" s="14" t="s">
        <v>82</v>
      </c>
      <c r="J15" s="16">
        <v>250.0</v>
      </c>
      <c r="K15" s="16">
        <v>250.0</v>
      </c>
      <c r="L15" s="16">
        <v>0.0</v>
      </c>
      <c r="M15" s="16">
        <v>250.0</v>
      </c>
      <c r="N15" s="14" t="s">
        <v>83</v>
      </c>
      <c r="O15" s="15"/>
    </row>
    <row r="16" ht="15.0" customHeight="1">
      <c r="A16" s="13">
        <v>45749.0</v>
      </c>
      <c r="B16" s="14" t="s">
        <v>131</v>
      </c>
      <c r="C16" s="14" t="s">
        <v>78</v>
      </c>
      <c r="D16" s="14" t="s">
        <v>126</v>
      </c>
      <c r="E16" s="15" t="s">
        <v>132</v>
      </c>
      <c r="F16" s="15" t="s">
        <v>42</v>
      </c>
      <c r="G16" s="15" t="s">
        <v>18</v>
      </c>
      <c r="H16" s="15" t="s">
        <v>128</v>
      </c>
      <c r="I16" s="14" t="s">
        <v>82</v>
      </c>
      <c r="J16" s="16">
        <v>263.0</v>
      </c>
      <c r="K16" s="16">
        <v>263.0</v>
      </c>
      <c r="L16" s="16">
        <v>0.0</v>
      </c>
      <c r="M16" s="16">
        <v>263.0</v>
      </c>
      <c r="N16" s="14" t="s">
        <v>83</v>
      </c>
      <c r="O16" s="15"/>
    </row>
    <row r="17" ht="15.0" customHeight="1">
      <c r="A17" s="13">
        <v>45749.0</v>
      </c>
      <c r="B17" s="14" t="s">
        <v>133</v>
      </c>
      <c r="C17" s="14" t="s">
        <v>78</v>
      </c>
      <c r="D17" s="14" t="s">
        <v>126</v>
      </c>
      <c r="E17" s="15" t="s">
        <v>134</v>
      </c>
      <c r="F17" s="15" t="s">
        <v>42</v>
      </c>
      <c r="G17" s="15" t="s">
        <v>18</v>
      </c>
      <c r="H17" s="15" t="s">
        <v>128</v>
      </c>
      <c r="I17" s="14" t="s">
        <v>82</v>
      </c>
      <c r="J17" s="16">
        <v>559.0</v>
      </c>
      <c r="K17" s="16">
        <v>559.0</v>
      </c>
      <c r="L17" s="16">
        <v>0.0</v>
      </c>
      <c r="M17" s="16">
        <v>559.0</v>
      </c>
      <c r="N17" s="14" t="s">
        <v>83</v>
      </c>
      <c r="O17" s="15"/>
    </row>
    <row r="18" ht="15.0" customHeight="1">
      <c r="A18" s="13">
        <v>45778.0</v>
      </c>
      <c r="B18" s="14" t="s">
        <v>135</v>
      </c>
      <c r="C18" s="14" t="s">
        <v>136</v>
      </c>
      <c r="D18" s="14" t="s">
        <v>79</v>
      </c>
      <c r="E18" s="15" t="s">
        <v>80</v>
      </c>
      <c r="F18" s="15" t="s">
        <v>51</v>
      </c>
      <c r="G18" s="15" t="s">
        <v>30</v>
      </c>
      <c r="H18" s="15" t="s">
        <v>81</v>
      </c>
      <c r="I18" s="14" t="s">
        <v>82</v>
      </c>
      <c r="J18" s="16">
        <v>649.0</v>
      </c>
      <c r="K18" s="16">
        <v>649.0</v>
      </c>
      <c r="L18" s="16">
        <v>0.0</v>
      </c>
      <c r="M18" s="16">
        <v>649.0</v>
      </c>
      <c r="N18" s="14" t="s">
        <v>83</v>
      </c>
      <c r="O18" s="15"/>
    </row>
    <row r="19" ht="15.0" customHeight="1">
      <c r="A19" s="13">
        <v>45781.0</v>
      </c>
      <c r="B19" s="14" t="s">
        <v>137</v>
      </c>
      <c r="C19" s="14" t="s">
        <v>136</v>
      </c>
      <c r="D19" s="14" t="s">
        <v>79</v>
      </c>
      <c r="E19" s="15" t="s">
        <v>94</v>
      </c>
      <c r="F19" s="15" t="s">
        <v>95</v>
      </c>
      <c r="G19" s="15" t="s">
        <v>58</v>
      </c>
      <c r="H19" s="15" t="s">
        <v>96</v>
      </c>
      <c r="I19" s="14" t="s">
        <v>82</v>
      </c>
      <c r="J19" s="16">
        <v>823.64</v>
      </c>
      <c r="K19" s="16">
        <v>823.64</v>
      </c>
      <c r="L19" s="16">
        <v>0.0</v>
      </c>
      <c r="M19" s="16">
        <v>823.64</v>
      </c>
      <c r="N19" s="14" t="s">
        <v>97</v>
      </c>
      <c r="O19" s="15" t="s">
        <v>98</v>
      </c>
    </row>
    <row r="20" ht="15.0" customHeight="1">
      <c r="A20" s="13">
        <v>45781.0</v>
      </c>
      <c r="B20" s="14" t="s">
        <v>138</v>
      </c>
      <c r="C20" s="14" t="s">
        <v>136</v>
      </c>
      <c r="D20" s="14" t="s">
        <v>79</v>
      </c>
      <c r="E20" s="15" t="s">
        <v>94</v>
      </c>
      <c r="F20" s="15" t="s">
        <v>95</v>
      </c>
      <c r="G20" s="15" t="s">
        <v>58</v>
      </c>
      <c r="H20" s="15" t="s">
        <v>96</v>
      </c>
      <c r="I20" s="14" t="s">
        <v>82</v>
      </c>
      <c r="J20" s="16">
        <v>1744.02</v>
      </c>
      <c r="K20" s="16">
        <v>1744.02</v>
      </c>
      <c r="L20" s="16">
        <v>0.0</v>
      </c>
      <c r="M20" s="16">
        <v>1744.02</v>
      </c>
      <c r="N20" s="14" t="s">
        <v>97</v>
      </c>
      <c r="O20" s="15" t="s">
        <v>98</v>
      </c>
    </row>
    <row r="21" ht="15.0" customHeight="1">
      <c r="A21" s="13">
        <v>45781.0</v>
      </c>
      <c r="B21" s="14" t="s">
        <v>139</v>
      </c>
      <c r="C21" s="14" t="s">
        <v>136</v>
      </c>
      <c r="D21" s="14" t="s">
        <v>79</v>
      </c>
      <c r="E21" s="15" t="s">
        <v>140</v>
      </c>
      <c r="F21" s="15" t="s">
        <v>42</v>
      </c>
      <c r="G21" s="15" t="s">
        <v>18</v>
      </c>
      <c r="H21" s="15" t="s">
        <v>128</v>
      </c>
      <c r="I21" s="14" t="s">
        <v>82</v>
      </c>
      <c r="J21" s="16">
        <v>3400.0</v>
      </c>
      <c r="K21" s="16">
        <v>3400.0</v>
      </c>
      <c r="L21" s="16">
        <v>0.0</v>
      </c>
      <c r="M21" s="16">
        <v>3400.0</v>
      </c>
      <c r="N21" s="14" t="s">
        <v>83</v>
      </c>
      <c r="O21" s="15"/>
    </row>
    <row r="22" ht="15.0" customHeight="1">
      <c r="A22" s="13">
        <v>45782.0</v>
      </c>
      <c r="B22" s="14" t="s">
        <v>141</v>
      </c>
      <c r="C22" s="14" t="s">
        <v>136</v>
      </c>
      <c r="D22" s="14" t="s">
        <v>79</v>
      </c>
      <c r="E22" s="15" t="s">
        <v>142</v>
      </c>
      <c r="F22" s="15" t="s">
        <v>101</v>
      </c>
      <c r="G22" s="15" t="s">
        <v>102</v>
      </c>
      <c r="H22" s="15" t="s">
        <v>101</v>
      </c>
      <c r="I22" s="14" t="s">
        <v>103</v>
      </c>
      <c r="J22" s="16">
        <v>-76675.0</v>
      </c>
      <c r="K22" s="16">
        <v>0.0</v>
      </c>
      <c r="L22" s="16">
        <v>0.0</v>
      </c>
      <c r="M22" s="16">
        <v>0.0</v>
      </c>
      <c r="N22" s="14" t="s">
        <v>83</v>
      </c>
      <c r="O22" s="15" t="s">
        <v>104</v>
      </c>
    </row>
    <row r="23" ht="15.0" customHeight="1">
      <c r="A23" s="13">
        <v>45782.0</v>
      </c>
      <c r="B23" s="14" t="s">
        <v>143</v>
      </c>
      <c r="C23" s="14" t="s">
        <v>136</v>
      </c>
      <c r="D23" s="14" t="s">
        <v>79</v>
      </c>
      <c r="E23" s="15" t="s">
        <v>92</v>
      </c>
      <c r="F23" s="15" t="s">
        <v>51</v>
      </c>
      <c r="G23" s="15" t="s">
        <v>30</v>
      </c>
      <c r="H23" s="15" t="s">
        <v>81</v>
      </c>
      <c r="I23" s="14" t="s">
        <v>82</v>
      </c>
      <c r="J23" s="16">
        <v>299.0</v>
      </c>
      <c r="K23" s="16">
        <v>299.0</v>
      </c>
      <c r="L23" s="16">
        <v>0.0</v>
      </c>
      <c r="M23" s="16">
        <v>299.0</v>
      </c>
      <c r="N23" s="14" t="s">
        <v>83</v>
      </c>
      <c r="O23" s="15"/>
    </row>
    <row r="24" ht="15.0" customHeight="1">
      <c r="A24" s="13">
        <v>45783.0</v>
      </c>
      <c r="B24" s="14" t="s">
        <v>144</v>
      </c>
      <c r="C24" s="14" t="s">
        <v>136</v>
      </c>
      <c r="D24" s="14" t="s">
        <v>79</v>
      </c>
      <c r="E24" s="15" t="s">
        <v>145</v>
      </c>
      <c r="F24" s="15" t="s">
        <v>44</v>
      </c>
      <c r="G24" s="15" t="s">
        <v>29</v>
      </c>
      <c r="H24" s="15" t="s">
        <v>118</v>
      </c>
      <c r="I24" s="14" t="s">
        <v>82</v>
      </c>
      <c r="J24" s="16">
        <v>263.0</v>
      </c>
      <c r="K24" s="16">
        <v>263.0</v>
      </c>
      <c r="L24" s="16">
        <v>0.0</v>
      </c>
      <c r="M24" s="16">
        <v>263.0</v>
      </c>
      <c r="N24" s="14" t="s">
        <v>83</v>
      </c>
      <c r="O24" s="15"/>
    </row>
    <row r="25" ht="15.0" customHeight="1">
      <c r="A25" s="13">
        <v>45784.0</v>
      </c>
      <c r="B25" s="14" t="s">
        <v>146</v>
      </c>
      <c r="C25" s="14" t="s">
        <v>136</v>
      </c>
      <c r="D25" s="14" t="s">
        <v>79</v>
      </c>
      <c r="E25" s="15" t="s">
        <v>147</v>
      </c>
      <c r="F25" s="15" t="s">
        <v>42</v>
      </c>
      <c r="G25" s="15" t="s">
        <v>18</v>
      </c>
      <c r="H25" s="15" t="s">
        <v>128</v>
      </c>
      <c r="I25" s="14" t="s">
        <v>82</v>
      </c>
      <c r="J25" s="16">
        <v>640.0</v>
      </c>
      <c r="K25" s="16">
        <v>640.0</v>
      </c>
      <c r="L25" s="16">
        <v>0.0</v>
      </c>
      <c r="M25" s="16">
        <v>640.0</v>
      </c>
      <c r="N25" s="14" t="s">
        <v>83</v>
      </c>
      <c r="O25" s="15"/>
    </row>
    <row r="26" ht="15.0" customHeight="1">
      <c r="A26" s="13">
        <v>45791.0</v>
      </c>
      <c r="B26" s="14" t="s">
        <v>148</v>
      </c>
      <c r="C26" s="14" t="s">
        <v>136</v>
      </c>
      <c r="D26" s="14" t="s">
        <v>79</v>
      </c>
      <c r="E26" s="15" t="s">
        <v>149</v>
      </c>
      <c r="F26" s="15" t="s">
        <v>40</v>
      </c>
      <c r="G26" s="15" t="s">
        <v>21</v>
      </c>
      <c r="H26" s="15" t="s">
        <v>150</v>
      </c>
      <c r="I26" s="14" t="s">
        <v>82</v>
      </c>
      <c r="J26" s="16">
        <v>3104.58</v>
      </c>
      <c r="K26" s="16">
        <v>3104.58</v>
      </c>
      <c r="L26" s="16">
        <v>0.0</v>
      </c>
      <c r="M26" s="16">
        <v>3104.58</v>
      </c>
      <c r="N26" s="14" t="s">
        <v>83</v>
      </c>
      <c r="O26" s="15"/>
    </row>
    <row r="27" ht="15.0" customHeight="1">
      <c r="A27" s="13">
        <v>45797.0</v>
      </c>
      <c r="B27" s="14" t="s">
        <v>151</v>
      </c>
      <c r="C27" s="14" t="s">
        <v>136</v>
      </c>
      <c r="D27" s="14" t="s">
        <v>79</v>
      </c>
      <c r="E27" s="15" t="s">
        <v>152</v>
      </c>
      <c r="F27" s="15" t="s">
        <v>43</v>
      </c>
      <c r="G27" s="15" t="s">
        <v>26</v>
      </c>
      <c r="H27" s="15" t="s">
        <v>153</v>
      </c>
      <c r="I27" s="14" t="s">
        <v>82</v>
      </c>
      <c r="J27" s="16">
        <v>2.0</v>
      </c>
      <c r="K27" s="16">
        <v>2.0</v>
      </c>
      <c r="L27" s="16">
        <v>0.0</v>
      </c>
      <c r="M27" s="16">
        <v>2.0</v>
      </c>
      <c r="N27" s="14" t="s">
        <v>83</v>
      </c>
      <c r="O27" s="15"/>
    </row>
    <row r="28" ht="15.0" customHeight="1">
      <c r="A28" s="13">
        <v>45798.0</v>
      </c>
      <c r="B28" s="14" t="s">
        <v>154</v>
      </c>
      <c r="C28" s="14" t="s">
        <v>136</v>
      </c>
      <c r="D28" s="14" t="s">
        <v>79</v>
      </c>
      <c r="E28" s="15" t="s">
        <v>155</v>
      </c>
      <c r="F28" s="15" t="s">
        <v>39</v>
      </c>
      <c r="G28" s="15" t="s">
        <v>15</v>
      </c>
      <c r="H28" s="15" t="s">
        <v>156</v>
      </c>
      <c r="I28" s="14" t="s">
        <v>82</v>
      </c>
      <c r="J28" s="16">
        <v>858.0</v>
      </c>
      <c r="K28" s="16">
        <v>858.0</v>
      </c>
      <c r="L28" s="16">
        <v>0.0</v>
      </c>
      <c r="M28" s="16">
        <v>858.0</v>
      </c>
      <c r="N28" s="14" t="s">
        <v>83</v>
      </c>
      <c r="O28" s="15"/>
    </row>
    <row r="29" ht="15.0" customHeight="1">
      <c r="A29" s="13">
        <v>45798.0</v>
      </c>
      <c r="B29" s="14" t="s">
        <v>157</v>
      </c>
      <c r="C29" s="14" t="s">
        <v>136</v>
      </c>
      <c r="D29" s="14" t="s">
        <v>79</v>
      </c>
      <c r="E29" s="15" t="s">
        <v>155</v>
      </c>
      <c r="F29" s="15" t="s">
        <v>39</v>
      </c>
      <c r="G29" s="15" t="s">
        <v>15</v>
      </c>
      <c r="H29" s="15" t="s">
        <v>156</v>
      </c>
      <c r="I29" s="14" t="s">
        <v>82</v>
      </c>
      <c r="J29" s="16">
        <v>900.0</v>
      </c>
      <c r="K29" s="16">
        <v>900.0</v>
      </c>
      <c r="L29" s="16">
        <v>0.0</v>
      </c>
      <c r="M29" s="16">
        <v>900.0</v>
      </c>
      <c r="N29" s="14" t="s">
        <v>83</v>
      </c>
      <c r="O29" s="15"/>
    </row>
    <row r="30" ht="15.0" customHeight="1">
      <c r="A30" s="13">
        <v>45798.0</v>
      </c>
      <c r="B30" s="14" t="s">
        <v>158</v>
      </c>
      <c r="C30" s="14" t="s">
        <v>136</v>
      </c>
      <c r="D30" s="14" t="s">
        <v>79</v>
      </c>
      <c r="E30" s="15" t="s">
        <v>155</v>
      </c>
      <c r="F30" s="15" t="s">
        <v>39</v>
      </c>
      <c r="G30" s="15" t="s">
        <v>15</v>
      </c>
      <c r="H30" s="15" t="s">
        <v>156</v>
      </c>
      <c r="I30" s="14" t="s">
        <v>82</v>
      </c>
      <c r="J30" s="16">
        <v>3183.0</v>
      </c>
      <c r="K30" s="16">
        <v>3183.0</v>
      </c>
      <c r="L30" s="16">
        <v>0.0</v>
      </c>
      <c r="M30" s="16">
        <v>3183.0</v>
      </c>
      <c r="N30" s="14" t="s">
        <v>83</v>
      </c>
      <c r="O30" s="15"/>
    </row>
    <row r="31" ht="15.0" customHeight="1">
      <c r="A31" s="13">
        <v>45773.0</v>
      </c>
      <c r="B31" s="14" t="s">
        <v>159</v>
      </c>
      <c r="C31" s="14" t="s">
        <v>136</v>
      </c>
      <c r="D31" s="14" t="s">
        <v>160</v>
      </c>
      <c r="E31" s="15" t="s">
        <v>161</v>
      </c>
      <c r="F31" s="15" t="s">
        <v>43</v>
      </c>
      <c r="G31" s="15" t="s">
        <v>26</v>
      </c>
      <c r="H31" s="15" t="s">
        <v>153</v>
      </c>
      <c r="I31" s="14" t="s">
        <v>82</v>
      </c>
      <c r="J31" s="16">
        <v>8800.0</v>
      </c>
      <c r="K31" s="16">
        <v>8800.0</v>
      </c>
      <c r="L31" s="16">
        <v>0.0</v>
      </c>
      <c r="M31" s="16">
        <v>8800.0</v>
      </c>
      <c r="N31" s="14" t="s">
        <v>83</v>
      </c>
      <c r="O31" s="15"/>
    </row>
    <row r="32" ht="15.0" customHeight="1">
      <c r="A32" s="13">
        <v>45773.0</v>
      </c>
      <c r="B32" s="14" t="s">
        <v>162</v>
      </c>
      <c r="C32" s="14" t="s">
        <v>136</v>
      </c>
      <c r="D32" s="14" t="s">
        <v>160</v>
      </c>
      <c r="E32" s="15" t="s">
        <v>163</v>
      </c>
      <c r="F32" s="15" t="s">
        <v>40</v>
      </c>
      <c r="G32" s="15" t="s">
        <v>21</v>
      </c>
      <c r="H32" s="15" t="s">
        <v>150</v>
      </c>
      <c r="I32" s="14" t="s">
        <v>82</v>
      </c>
      <c r="J32" s="16">
        <v>5200.0</v>
      </c>
      <c r="K32" s="16">
        <v>5200.0</v>
      </c>
      <c r="L32" s="16">
        <v>0.0</v>
      </c>
      <c r="M32" s="16">
        <v>5200.0</v>
      </c>
      <c r="N32" s="14" t="s">
        <v>83</v>
      </c>
      <c r="O32" s="15"/>
    </row>
    <row r="33" ht="15.0" customHeight="1">
      <c r="A33" s="13">
        <v>45783.0</v>
      </c>
      <c r="B33" s="14" t="s">
        <v>164</v>
      </c>
      <c r="C33" s="14" t="s">
        <v>136</v>
      </c>
      <c r="D33" s="14" t="s">
        <v>160</v>
      </c>
      <c r="E33" s="15" t="s">
        <v>165</v>
      </c>
      <c r="F33" s="15" t="s">
        <v>42</v>
      </c>
      <c r="G33" s="15" t="s">
        <v>18</v>
      </c>
      <c r="H33" s="15" t="s">
        <v>128</v>
      </c>
      <c r="I33" s="14" t="s">
        <v>82</v>
      </c>
      <c r="J33" s="16">
        <v>820.0</v>
      </c>
      <c r="K33" s="16">
        <v>820.0</v>
      </c>
      <c r="L33" s="16">
        <v>0.0</v>
      </c>
      <c r="M33" s="16">
        <v>820.0</v>
      </c>
      <c r="N33" s="14" t="s">
        <v>83</v>
      </c>
      <c r="O33" s="15"/>
    </row>
    <row r="34" ht="15.0" customHeight="1">
      <c r="A34" s="13">
        <v>45797.0</v>
      </c>
      <c r="B34" s="14" t="s">
        <v>166</v>
      </c>
      <c r="C34" s="14" t="s">
        <v>136</v>
      </c>
      <c r="D34" s="14" t="s">
        <v>160</v>
      </c>
      <c r="E34" s="15" t="s">
        <v>155</v>
      </c>
      <c r="F34" s="15" t="s">
        <v>39</v>
      </c>
      <c r="G34" s="15" t="s">
        <v>15</v>
      </c>
      <c r="H34" s="15" t="s">
        <v>156</v>
      </c>
      <c r="I34" s="14" t="s">
        <v>82</v>
      </c>
      <c r="J34" s="16">
        <v>6040.0</v>
      </c>
      <c r="K34" s="16">
        <v>6040.0</v>
      </c>
      <c r="L34" s="16">
        <v>0.0</v>
      </c>
      <c r="M34" s="16">
        <v>6040.0</v>
      </c>
      <c r="N34" s="14" t="s">
        <v>83</v>
      </c>
      <c r="O34" s="15"/>
    </row>
    <row r="35" ht="15.0" customHeight="1">
      <c r="A35" s="13">
        <v>45794.0</v>
      </c>
      <c r="B35" s="14" t="s">
        <v>167</v>
      </c>
      <c r="C35" s="14" t="s">
        <v>136</v>
      </c>
      <c r="D35" s="14" t="s">
        <v>126</v>
      </c>
      <c r="E35" s="15" t="s">
        <v>168</v>
      </c>
      <c r="F35" s="15" t="s">
        <v>44</v>
      </c>
      <c r="G35" s="15" t="s">
        <v>29</v>
      </c>
      <c r="H35" s="15" t="s">
        <v>118</v>
      </c>
      <c r="I35" s="14" t="s">
        <v>82</v>
      </c>
      <c r="J35" s="16">
        <v>4099.0</v>
      </c>
      <c r="K35" s="16">
        <v>4099.0</v>
      </c>
      <c r="L35" s="16">
        <v>0.0</v>
      </c>
      <c r="M35" s="16">
        <v>4099.0</v>
      </c>
      <c r="N35" s="14" t="s">
        <v>83</v>
      </c>
      <c r="O35" s="15"/>
    </row>
    <row r="36" ht="15.0" customHeight="1">
      <c r="A36" s="13">
        <v>45801.0</v>
      </c>
      <c r="B36" s="14" t="s">
        <v>169</v>
      </c>
      <c r="C36" s="14" t="s">
        <v>170</v>
      </c>
      <c r="D36" s="14" t="s">
        <v>79</v>
      </c>
      <c r="E36" s="15" t="s">
        <v>171</v>
      </c>
      <c r="F36" s="15" t="s">
        <v>40</v>
      </c>
      <c r="G36" s="15" t="s">
        <v>21</v>
      </c>
      <c r="H36" s="15" t="s">
        <v>150</v>
      </c>
      <c r="I36" s="14" t="s">
        <v>82</v>
      </c>
      <c r="J36" s="16">
        <v>3448.0</v>
      </c>
      <c r="K36" s="16">
        <v>3448.0</v>
      </c>
      <c r="L36" s="16">
        <v>0.0</v>
      </c>
      <c r="M36" s="16">
        <v>3448.0</v>
      </c>
      <c r="N36" s="14" t="s">
        <v>83</v>
      </c>
      <c r="O36" s="15"/>
    </row>
    <row r="37" ht="15.0" customHeight="1">
      <c r="A37" s="13">
        <v>45801.0</v>
      </c>
      <c r="B37" s="14" t="s">
        <v>172</v>
      </c>
      <c r="C37" s="14" t="s">
        <v>170</v>
      </c>
      <c r="D37" s="14" t="s">
        <v>79</v>
      </c>
      <c r="E37" s="15" t="s">
        <v>173</v>
      </c>
      <c r="F37" s="15" t="s">
        <v>44</v>
      </c>
      <c r="G37" s="15" t="s">
        <v>29</v>
      </c>
      <c r="H37" s="15" t="s">
        <v>118</v>
      </c>
      <c r="I37" s="14" t="s">
        <v>82</v>
      </c>
      <c r="J37" s="16">
        <v>2257.0</v>
      </c>
      <c r="K37" s="16">
        <v>2257.0</v>
      </c>
      <c r="L37" s="16">
        <v>0.0</v>
      </c>
      <c r="M37" s="16">
        <v>2257.0</v>
      </c>
      <c r="N37" s="14" t="s">
        <v>83</v>
      </c>
      <c r="O37" s="15"/>
    </row>
    <row r="38" ht="15.0" customHeight="1">
      <c r="A38" s="13">
        <v>45803.0</v>
      </c>
      <c r="B38" s="14" t="s">
        <v>174</v>
      </c>
      <c r="C38" s="14" t="s">
        <v>170</v>
      </c>
      <c r="D38" s="14" t="s">
        <v>79</v>
      </c>
      <c r="E38" s="15" t="s">
        <v>140</v>
      </c>
      <c r="F38" s="15" t="s">
        <v>42</v>
      </c>
      <c r="G38" s="15" t="s">
        <v>18</v>
      </c>
      <c r="H38" s="15" t="s">
        <v>128</v>
      </c>
      <c r="I38" s="14" t="s">
        <v>82</v>
      </c>
      <c r="J38" s="16">
        <v>1200.0</v>
      </c>
      <c r="K38" s="16">
        <v>1200.0</v>
      </c>
      <c r="L38" s="16">
        <v>0.0</v>
      </c>
      <c r="M38" s="16">
        <v>1200.0</v>
      </c>
      <c r="N38" s="14" t="s">
        <v>83</v>
      </c>
      <c r="O38" s="15"/>
    </row>
    <row r="39" ht="15.0" customHeight="1">
      <c r="A39" s="13">
        <v>45804.0</v>
      </c>
      <c r="B39" s="14"/>
      <c r="C39" s="14" t="s">
        <v>170</v>
      </c>
      <c r="D39" s="14" t="s">
        <v>79</v>
      </c>
      <c r="E39" s="15" t="s">
        <v>152</v>
      </c>
      <c r="F39" s="15" t="s">
        <v>43</v>
      </c>
      <c r="G39" s="15" t="s">
        <v>26</v>
      </c>
      <c r="H39" s="15" t="s">
        <v>153</v>
      </c>
      <c r="I39" s="14" t="s">
        <v>175</v>
      </c>
      <c r="J39" s="16">
        <v>-2.0</v>
      </c>
      <c r="K39" s="16">
        <v>0.0</v>
      </c>
      <c r="L39" s="16">
        <v>2.0</v>
      </c>
      <c r="M39" s="16">
        <v>-2.0</v>
      </c>
      <c r="N39" s="14" t="s">
        <v>83</v>
      </c>
      <c r="O39" s="15"/>
    </row>
    <row r="40" ht="15.0" customHeight="1">
      <c r="A40" s="13">
        <v>45804.0</v>
      </c>
      <c r="B40" s="14" t="s">
        <v>176</v>
      </c>
      <c r="C40" s="14" t="s">
        <v>170</v>
      </c>
      <c r="D40" s="14" t="s">
        <v>79</v>
      </c>
      <c r="E40" s="15" t="s">
        <v>177</v>
      </c>
      <c r="F40" s="15" t="s">
        <v>55</v>
      </c>
      <c r="G40" s="15" t="s">
        <v>46</v>
      </c>
      <c r="H40" s="15" t="s">
        <v>178</v>
      </c>
      <c r="I40" s="14" t="s">
        <v>82</v>
      </c>
      <c r="J40" s="16">
        <v>1000.0</v>
      </c>
      <c r="K40" s="16">
        <v>1000.0</v>
      </c>
      <c r="L40" s="16">
        <v>0.0</v>
      </c>
      <c r="M40" s="16">
        <v>1000.0</v>
      </c>
      <c r="N40" s="14" t="s">
        <v>83</v>
      </c>
      <c r="O40" s="15"/>
    </row>
    <row r="41" ht="15.0" customHeight="1">
      <c r="A41" s="13">
        <v>45804.0</v>
      </c>
      <c r="B41" s="14"/>
      <c r="C41" s="14" t="s">
        <v>170</v>
      </c>
      <c r="D41" s="14" t="s">
        <v>79</v>
      </c>
      <c r="E41" s="15" t="s">
        <v>171</v>
      </c>
      <c r="F41" s="15" t="s">
        <v>40</v>
      </c>
      <c r="G41" s="15" t="s">
        <v>21</v>
      </c>
      <c r="H41" s="15" t="s">
        <v>150</v>
      </c>
      <c r="I41" s="14" t="s">
        <v>175</v>
      </c>
      <c r="J41" s="16">
        <v>-1714.0</v>
      </c>
      <c r="K41" s="16">
        <v>0.0</v>
      </c>
      <c r="L41" s="16">
        <v>1714.0</v>
      </c>
      <c r="M41" s="16">
        <v>-1714.0</v>
      </c>
      <c r="N41" s="14" t="s">
        <v>83</v>
      </c>
      <c r="O41" s="15"/>
    </row>
    <row r="42" ht="15.0" customHeight="1">
      <c r="A42" s="13">
        <v>45805.0</v>
      </c>
      <c r="B42" s="14" t="s">
        <v>179</v>
      </c>
      <c r="C42" s="14" t="s">
        <v>170</v>
      </c>
      <c r="D42" s="14" t="s">
        <v>79</v>
      </c>
      <c r="E42" s="15" t="s">
        <v>180</v>
      </c>
      <c r="F42" s="15" t="s">
        <v>44</v>
      </c>
      <c r="G42" s="15" t="s">
        <v>29</v>
      </c>
      <c r="H42" s="15" t="s">
        <v>118</v>
      </c>
      <c r="I42" s="14" t="s">
        <v>82</v>
      </c>
      <c r="J42" s="16">
        <v>357.0</v>
      </c>
      <c r="K42" s="16">
        <v>357.0</v>
      </c>
      <c r="L42" s="16">
        <v>0.0</v>
      </c>
      <c r="M42" s="16">
        <v>357.0</v>
      </c>
      <c r="N42" s="14" t="s">
        <v>83</v>
      </c>
      <c r="O42" s="15"/>
    </row>
    <row r="43" ht="15.0" customHeight="1">
      <c r="A43" s="13">
        <v>45808.0</v>
      </c>
      <c r="B43" s="14" t="s">
        <v>181</v>
      </c>
      <c r="C43" s="14" t="s">
        <v>170</v>
      </c>
      <c r="D43" s="14" t="s">
        <v>79</v>
      </c>
      <c r="E43" s="15" t="s">
        <v>182</v>
      </c>
      <c r="F43" s="15" t="s">
        <v>51</v>
      </c>
      <c r="G43" s="15" t="s">
        <v>30</v>
      </c>
      <c r="H43" s="15" t="s">
        <v>81</v>
      </c>
      <c r="I43" s="14" t="s">
        <v>82</v>
      </c>
      <c r="J43" s="16">
        <v>2498.0</v>
      </c>
      <c r="K43" s="16">
        <v>2498.0</v>
      </c>
      <c r="L43" s="16">
        <v>0.0</v>
      </c>
      <c r="M43" s="16">
        <v>2498.0</v>
      </c>
      <c r="N43" s="14" t="s">
        <v>83</v>
      </c>
      <c r="O43" s="15"/>
    </row>
    <row r="44" ht="15.0" customHeight="1">
      <c r="A44" s="13">
        <v>45808.0</v>
      </c>
      <c r="B44" s="14" t="s">
        <v>183</v>
      </c>
      <c r="C44" s="14" t="s">
        <v>170</v>
      </c>
      <c r="D44" s="14" t="s">
        <v>79</v>
      </c>
      <c r="E44" s="15" t="s">
        <v>184</v>
      </c>
      <c r="F44" s="15" t="s">
        <v>39</v>
      </c>
      <c r="G44" s="15" t="s">
        <v>15</v>
      </c>
      <c r="H44" s="15" t="s">
        <v>156</v>
      </c>
      <c r="I44" s="14" t="s">
        <v>82</v>
      </c>
      <c r="J44" s="16">
        <v>1100.0</v>
      </c>
      <c r="K44" s="16">
        <v>1100.0</v>
      </c>
      <c r="L44" s="16">
        <v>0.0</v>
      </c>
      <c r="M44" s="16">
        <v>1100.0</v>
      </c>
      <c r="N44" s="14" t="s">
        <v>83</v>
      </c>
      <c r="O44" s="15"/>
    </row>
    <row r="45" ht="15.0" customHeight="1">
      <c r="A45" s="13">
        <v>45808.0</v>
      </c>
      <c r="B45" s="14" t="s">
        <v>185</v>
      </c>
      <c r="C45" s="14" t="s">
        <v>170</v>
      </c>
      <c r="D45" s="14" t="s">
        <v>79</v>
      </c>
      <c r="E45" s="15" t="s">
        <v>184</v>
      </c>
      <c r="F45" s="15" t="s">
        <v>39</v>
      </c>
      <c r="G45" s="15" t="s">
        <v>15</v>
      </c>
      <c r="H45" s="15" t="s">
        <v>156</v>
      </c>
      <c r="I45" s="14" t="s">
        <v>82</v>
      </c>
      <c r="J45" s="16">
        <v>1100.0</v>
      </c>
      <c r="K45" s="16">
        <v>1100.0</v>
      </c>
      <c r="L45" s="16">
        <v>0.0</v>
      </c>
      <c r="M45" s="16">
        <v>1100.0</v>
      </c>
      <c r="N45" s="14" t="s">
        <v>83</v>
      </c>
      <c r="O45" s="15"/>
    </row>
    <row r="46" ht="15.0" customHeight="1">
      <c r="A46" s="13">
        <v>45808.0</v>
      </c>
      <c r="B46" s="14" t="s">
        <v>186</v>
      </c>
      <c r="C46" s="14" t="s">
        <v>170</v>
      </c>
      <c r="D46" s="14" t="s">
        <v>79</v>
      </c>
      <c r="E46" s="15" t="s">
        <v>187</v>
      </c>
      <c r="F46" s="15" t="s">
        <v>39</v>
      </c>
      <c r="G46" s="15" t="s">
        <v>15</v>
      </c>
      <c r="H46" s="15" t="s">
        <v>156</v>
      </c>
      <c r="I46" s="14" t="s">
        <v>82</v>
      </c>
      <c r="J46" s="16">
        <v>1419.85</v>
      </c>
      <c r="K46" s="16">
        <v>1419.85</v>
      </c>
      <c r="L46" s="16">
        <v>0.0</v>
      </c>
      <c r="M46" s="16">
        <v>1419.85</v>
      </c>
      <c r="N46" s="14" t="s">
        <v>83</v>
      </c>
      <c r="O46" s="15"/>
    </row>
    <row r="47" ht="15.0" customHeight="1">
      <c r="A47" s="13">
        <v>45809.0</v>
      </c>
      <c r="B47" s="14" t="s">
        <v>188</v>
      </c>
      <c r="C47" s="14" t="s">
        <v>170</v>
      </c>
      <c r="D47" s="14" t="s">
        <v>79</v>
      </c>
      <c r="E47" s="15" t="s">
        <v>80</v>
      </c>
      <c r="F47" s="15" t="s">
        <v>51</v>
      </c>
      <c r="G47" s="15" t="s">
        <v>30</v>
      </c>
      <c r="H47" s="15" t="s">
        <v>81</v>
      </c>
      <c r="I47" s="14" t="s">
        <v>82</v>
      </c>
      <c r="J47" s="16">
        <v>649.0</v>
      </c>
      <c r="K47" s="16">
        <v>649.0</v>
      </c>
      <c r="L47" s="16">
        <v>0.0</v>
      </c>
      <c r="M47" s="16">
        <v>649.0</v>
      </c>
      <c r="N47" s="14" t="s">
        <v>83</v>
      </c>
      <c r="O47" s="15"/>
    </row>
    <row r="48" ht="15.0" customHeight="1">
      <c r="A48" s="13">
        <v>45809.0</v>
      </c>
      <c r="B48" s="14" t="s">
        <v>189</v>
      </c>
      <c r="C48" s="14" t="s">
        <v>170</v>
      </c>
      <c r="D48" s="14" t="s">
        <v>79</v>
      </c>
      <c r="E48" s="15" t="s">
        <v>190</v>
      </c>
      <c r="F48" s="15" t="s">
        <v>191</v>
      </c>
      <c r="G48" s="15" t="s">
        <v>56</v>
      </c>
      <c r="H48" s="15" t="s">
        <v>192</v>
      </c>
      <c r="I48" s="14" t="s">
        <v>82</v>
      </c>
      <c r="J48" s="16">
        <v>2437.0</v>
      </c>
      <c r="K48" s="16">
        <v>2437.0</v>
      </c>
      <c r="L48" s="16">
        <v>0.0</v>
      </c>
      <c r="M48" s="16">
        <v>2437.0</v>
      </c>
      <c r="N48" s="14" t="s">
        <v>83</v>
      </c>
      <c r="O48" s="15"/>
    </row>
    <row r="49" ht="15.0" customHeight="1">
      <c r="A49" s="13">
        <v>45810.0</v>
      </c>
      <c r="B49" s="14" t="s">
        <v>193</v>
      </c>
      <c r="C49" s="14" t="s">
        <v>170</v>
      </c>
      <c r="D49" s="14" t="s">
        <v>79</v>
      </c>
      <c r="E49" s="15" t="s">
        <v>94</v>
      </c>
      <c r="F49" s="15" t="s">
        <v>95</v>
      </c>
      <c r="G49" s="15" t="s">
        <v>58</v>
      </c>
      <c r="H49" s="15" t="s">
        <v>96</v>
      </c>
      <c r="I49" s="14" t="s">
        <v>82</v>
      </c>
      <c r="J49" s="16">
        <v>823.64</v>
      </c>
      <c r="K49" s="16">
        <v>823.64</v>
      </c>
      <c r="L49" s="16">
        <v>0.0</v>
      </c>
      <c r="M49" s="16">
        <v>823.64</v>
      </c>
      <c r="N49" s="14" t="s">
        <v>97</v>
      </c>
      <c r="O49" s="15" t="s">
        <v>98</v>
      </c>
    </row>
    <row r="50" ht="15.0" customHeight="1">
      <c r="A50" s="13">
        <v>45810.0</v>
      </c>
      <c r="B50" s="14" t="s">
        <v>194</v>
      </c>
      <c r="C50" s="14" t="s">
        <v>170</v>
      </c>
      <c r="D50" s="14" t="s">
        <v>79</v>
      </c>
      <c r="E50" s="15" t="s">
        <v>195</v>
      </c>
      <c r="F50" s="15" t="s">
        <v>55</v>
      </c>
      <c r="G50" s="15" t="s">
        <v>46</v>
      </c>
      <c r="H50" s="15" t="s">
        <v>178</v>
      </c>
      <c r="I50" s="14" t="s">
        <v>82</v>
      </c>
      <c r="J50" s="16">
        <v>5168.0</v>
      </c>
      <c r="K50" s="16">
        <v>5168.0</v>
      </c>
      <c r="L50" s="16">
        <v>0.0</v>
      </c>
      <c r="M50" s="16">
        <v>5168.0</v>
      </c>
      <c r="N50" s="14" t="s">
        <v>83</v>
      </c>
      <c r="O50" s="15"/>
    </row>
    <row r="51" ht="15.0" customHeight="1">
      <c r="A51" s="13">
        <v>45810.0</v>
      </c>
      <c r="B51" s="14" t="s">
        <v>196</v>
      </c>
      <c r="C51" s="14" t="s">
        <v>170</v>
      </c>
      <c r="D51" s="14" t="s">
        <v>79</v>
      </c>
      <c r="E51" s="15" t="s">
        <v>94</v>
      </c>
      <c r="F51" s="15" t="s">
        <v>95</v>
      </c>
      <c r="G51" s="15" t="s">
        <v>58</v>
      </c>
      <c r="H51" s="15" t="s">
        <v>96</v>
      </c>
      <c r="I51" s="14" t="s">
        <v>82</v>
      </c>
      <c r="J51" s="16">
        <v>1744.02</v>
      </c>
      <c r="K51" s="16">
        <v>1744.02</v>
      </c>
      <c r="L51" s="16">
        <v>0.0</v>
      </c>
      <c r="M51" s="16">
        <v>1744.02</v>
      </c>
      <c r="N51" s="14" t="s">
        <v>97</v>
      </c>
      <c r="O51" s="15" t="s">
        <v>98</v>
      </c>
    </row>
    <row r="52" ht="15.0" customHeight="1">
      <c r="A52" s="13">
        <v>45811.0</v>
      </c>
      <c r="B52" s="14"/>
      <c r="C52" s="14" t="s">
        <v>170</v>
      </c>
      <c r="D52" s="14" t="s">
        <v>79</v>
      </c>
      <c r="E52" s="15" t="s">
        <v>197</v>
      </c>
      <c r="F52" s="15" t="s">
        <v>198</v>
      </c>
      <c r="G52" s="15" t="s">
        <v>64</v>
      </c>
      <c r="H52" s="15" t="s">
        <v>199</v>
      </c>
      <c r="I52" s="14" t="s">
        <v>82</v>
      </c>
      <c r="J52" s="16">
        <v>24.98</v>
      </c>
      <c r="K52" s="16">
        <v>24.98</v>
      </c>
      <c r="L52" s="16">
        <v>0.0</v>
      </c>
      <c r="M52" s="16">
        <v>24.98</v>
      </c>
      <c r="N52" s="14" t="s">
        <v>83</v>
      </c>
      <c r="O52" s="15"/>
    </row>
    <row r="53" ht="15.0" customHeight="1">
      <c r="A53" s="13">
        <v>45811.0</v>
      </c>
      <c r="B53" s="14" t="s">
        <v>200</v>
      </c>
      <c r="C53" s="14" t="s">
        <v>170</v>
      </c>
      <c r="D53" s="14" t="s">
        <v>79</v>
      </c>
      <c r="E53" s="15" t="s">
        <v>180</v>
      </c>
      <c r="F53" s="15" t="s">
        <v>44</v>
      </c>
      <c r="G53" s="15" t="s">
        <v>29</v>
      </c>
      <c r="H53" s="15" t="s">
        <v>118</v>
      </c>
      <c r="I53" s="14" t="s">
        <v>82</v>
      </c>
      <c r="J53" s="16">
        <v>274.0</v>
      </c>
      <c r="K53" s="16">
        <v>274.0</v>
      </c>
      <c r="L53" s="16">
        <v>0.0</v>
      </c>
      <c r="M53" s="16">
        <v>274.0</v>
      </c>
      <c r="N53" s="14" t="s">
        <v>83</v>
      </c>
      <c r="O53" s="15"/>
    </row>
    <row r="54" ht="15.0" customHeight="1">
      <c r="A54" s="13">
        <v>45811.0</v>
      </c>
      <c r="B54" s="14"/>
      <c r="C54" s="14" t="s">
        <v>170</v>
      </c>
      <c r="D54" s="14" t="s">
        <v>79</v>
      </c>
      <c r="E54" s="15" t="s">
        <v>201</v>
      </c>
      <c r="F54" s="15" t="s">
        <v>198</v>
      </c>
      <c r="G54" s="15" t="s">
        <v>64</v>
      </c>
      <c r="H54" s="15" t="s">
        <v>199</v>
      </c>
      <c r="I54" s="14" t="s">
        <v>82</v>
      </c>
      <c r="J54" s="16">
        <v>4.5</v>
      </c>
      <c r="K54" s="16">
        <v>4.5</v>
      </c>
      <c r="L54" s="16">
        <v>0.0</v>
      </c>
      <c r="M54" s="16">
        <v>4.5</v>
      </c>
      <c r="N54" s="14" t="s">
        <v>83</v>
      </c>
      <c r="O54" s="15"/>
    </row>
    <row r="55" ht="15.0" customHeight="1">
      <c r="A55" s="13">
        <v>45811.0</v>
      </c>
      <c r="B55" s="14" t="s">
        <v>202</v>
      </c>
      <c r="C55" s="14" t="s">
        <v>170</v>
      </c>
      <c r="D55" s="14" t="s">
        <v>79</v>
      </c>
      <c r="E55" s="15" t="s">
        <v>203</v>
      </c>
      <c r="F55" s="15" t="s">
        <v>101</v>
      </c>
      <c r="G55" s="15" t="s">
        <v>102</v>
      </c>
      <c r="H55" s="15" t="s">
        <v>101</v>
      </c>
      <c r="I55" s="14" t="s">
        <v>103</v>
      </c>
      <c r="J55" s="16">
        <v>-40825.0</v>
      </c>
      <c r="K55" s="16">
        <v>0.0</v>
      </c>
      <c r="L55" s="16">
        <v>0.0</v>
      </c>
      <c r="M55" s="16">
        <v>0.0</v>
      </c>
      <c r="N55" s="14" t="s">
        <v>83</v>
      </c>
      <c r="O55" s="15" t="s">
        <v>104</v>
      </c>
    </row>
    <row r="56" ht="15.0" customHeight="1">
      <c r="A56" s="13">
        <v>45813.0</v>
      </c>
      <c r="B56" s="14" t="s">
        <v>204</v>
      </c>
      <c r="C56" s="14" t="s">
        <v>170</v>
      </c>
      <c r="D56" s="14" t="s">
        <v>79</v>
      </c>
      <c r="E56" s="15" t="s">
        <v>92</v>
      </c>
      <c r="F56" s="15" t="s">
        <v>51</v>
      </c>
      <c r="G56" s="15" t="s">
        <v>30</v>
      </c>
      <c r="H56" s="15" t="s">
        <v>81</v>
      </c>
      <c r="I56" s="14" t="s">
        <v>82</v>
      </c>
      <c r="J56" s="16">
        <v>299.0</v>
      </c>
      <c r="K56" s="16">
        <v>299.0</v>
      </c>
      <c r="L56" s="16">
        <v>0.0</v>
      </c>
      <c r="M56" s="16">
        <v>299.0</v>
      </c>
      <c r="N56" s="14" t="s">
        <v>83</v>
      </c>
      <c r="O56" s="15"/>
    </row>
    <row r="57" ht="15.0" customHeight="1">
      <c r="A57" s="13">
        <v>45814.0</v>
      </c>
      <c r="B57" s="14" t="s">
        <v>205</v>
      </c>
      <c r="C57" s="14" t="s">
        <v>170</v>
      </c>
      <c r="D57" s="14" t="s">
        <v>79</v>
      </c>
      <c r="E57" s="15" t="s">
        <v>206</v>
      </c>
      <c r="F57" s="15" t="s">
        <v>44</v>
      </c>
      <c r="G57" s="15" t="s">
        <v>29</v>
      </c>
      <c r="H57" s="15" t="s">
        <v>118</v>
      </c>
      <c r="I57" s="14" t="s">
        <v>82</v>
      </c>
      <c r="J57" s="16">
        <v>817.0</v>
      </c>
      <c r="K57" s="16">
        <v>817.0</v>
      </c>
      <c r="L57" s="16">
        <v>0.0</v>
      </c>
      <c r="M57" s="16">
        <v>817.0</v>
      </c>
      <c r="N57" s="14" t="s">
        <v>83</v>
      </c>
      <c r="O57" s="15"/>
    </row>
    <row r="58" ht="15.0" customHeight="1">
      <c r="A58" s="13">
        <v>45816.0</v>
      </c>
      <c r="B58" s="14" t="s">
        <v>207</v>
      </c>
      <c r="C58" s="14" t="s">
        <v>170</v>
      </c>
      <c r="D58" s="14" t="s">
        <v>79</v>
      </c>
      <c r="E58" s="15" t="s">
        <v>117</v>
      </c>
      <c r="F58" s="15" t="s">
        <v>44</v>
      </c>
      <c r="G58" s="15" t="s">
        <v>29</v>
      </c>
      <c r="H58" s="15" t="s">
        <v>118</v>
      </c>
      <c r="I58" s="14" t="s">
        <v>82</v>
      </c>
      <c r="J58" s="16">
        <v>363.0</v>
      </c>
      <c r="K58" s="16">
        <v>363.0</v>
      </c>
      <c r="L58" s="16">
        <v>0.0</v>
      </c>
      <c r="M58" s="16">
        <v>363.0</v>
      </c>
      <c r="N58" s="14" t="s">
        <v>83</v>
      </c>
      <c r="O58" s="15"/>
    </row>
    <row r="59" ht="15.0" customHeight="1">
      <c r="A59" s="13">
        <v>45822.0</v>
      </c>
      <c r="B59" s="14" t="s">
        <v>208</v>
      </c>
      <c r="C59" s="14" t="s">
        <v>170</v>
      </c>
      <c r="D59" s="14" t="s">
        <v>79</v>
      </c>
      <c r="E59" s="15" t="s">
        <v>209</v>
      </c>
      <c r="F59" s="15" t="s">
        <v>42</v>
      </c>
      <c r="G59" s="15" t="s">
        <v>18</v>
      </c>
      <c r="H59" s="15" t="s">
        <v>128</v>
      </c>
      <c r="I59" s="14" t="s">
        <v>82</v>
      </c>
      <c r="J59" s="16">
        <v>1973.0</v>
      </c>
      <c r="K59" s="16">
        <v>1973.0</v>
      </c>
      <c r="L59" s="16">
        <v>0.0</v>
      </c>
      <c r="M59" s="16">
        <v>1973.0</v>
      </c>
      <c r="N59" s="14" t="s">
        <v>83</v>
      </c>
      <c r="O59" s="15"/>
    </row>
    <row r="60" ht="15.0" customHeight="1">
      <c r="A60" s="13">
        <v>45822.0</v>
      </c>
      <c r="B60" s="14" t="s">
        <v>210</v>
      </c>
      <c r="C60" s="14" t="s">
        <v>170</v>
      </c>
      <c r="D60" s="14" t="s">
        <v>79</v>
      </c>
      <c r="E60" s="15" t="s">
        <v>211</v>
      </c>
      <c r="F60" s="15" t="s">
        <v>211</v>
      </c>
      <c r="G60" s="15" t="s">
        <v>50</v>
      </c>
      <c r="H60" s="15" t="s">
        <v>113</v>
      </c>
      <c r="I60" s="14" t="s">
        <v>82</v>
      </c>
      <c r="J60" s="16">
        <v>2461.76</v>
      </c>
      <c r="K60" s="16">
        <v>2461.76</v>
      </c>
      <c r="L60" s="16">
        <v>0.0</v>
      </c>
      <c r="M60" s="16">
        <v>2461.76</v>
      </c>
      <c r="N60" s="14" t="s">
        <v>114</v>
      </c>
      <c r="O60" s="15" t="s">
        <v>212</v>
      </c>
    </row>
    <row r="61" ht="15.0" customHeight="1">
      <c r="A61" s="13">
        <v>45822.0</v>
      </c>
      <c r="B61" s="14" t="s">
        <v>213</v>
      </c>
      <c r="C61" s="14" t="s">
        <v>170</v>
      </c>
      <c r="D61" s="14" t="s">
        <v>79</v>
      </c>
      <c r="E61" s="15" t="s">
        <v>214</v>
      </c>
      <c r="F61" s="15" t="s">
        <v>40</v>
      </c>
      <c r="G61" s="15" t="s">
        <v>21</v>
      </c>
      <c r="H61" s="15" t="s">
        <v>150</v>
      </c>
      <c r="I61" s="14" t="s">
        <v>82</v>
      </c>
      <c r="J61" s="16">
        <v>4105.0</v>
      </c>
      <c r="K61" s="16">
        <v>4105.0</v>
      </c>
      <c r="L61" s="16">
        <v>0.0</v>
      </c>
      <c r="M61" s="16">
        <v>4105.0</v>
      </c>
      <c r="N61" s="14" t="s">
        <v>83</v>
      </c>
      <c r="O61" s="15"/>
    </row>
    <row r="62" ht="15.0" customHeight="1">
      <c r="A62" s="13">
        <v>45822.0</v>
      </c>
      <c r="B62" s="14" t="s">
        <v>215</v>
      </c>
      <c r="C62" s="14" t="s">
        <v>170</v>
      </c>
      <c r="D62" s="14" t="s">
        <v>79</v>
      </c>
      <c r="E62" s="15" t="s">
        <v>216</v>
      </c>
      <c r="F62" s="15" t="s">
        <v>53</v>
      </c>
      <c r="G62" s="15" t="s">
        <v>36</v>
      </c>
      <c r="H62" s="15" t="s">
        <v>217</v>
      </c>
      <c r="I62" s="14" t="s">
        <v>82</v>
      </c>
      <c r="J62" s="16">
        <v>2000.0</v>
      </c>
      <c r="K62" s="16">
        <v>2000.0</v>
      </c>
      <c r="L62" s="16">
        <v>0.0</v>
      </c>
      <c r="M62" s="16">
        <v>2000.0</v>
      </c>
      <c r="N62" s="14" t="s">
        <v>97</v>
      </c>
      <c r="O62" s="15" t="s">
        <v>218</v>
      </c>
    </row>
    <row r="63" ht="15.0" customHeight="1">
      <c r="A63" s="13">
        <v>45822.0</v>
      </c>
      <c r="B63" s="14" t="s">
        <v>219</v>
      </c>
      <c r="C63" s="14" t="s">
        <v>170</v>
      </c>
      <c r="D63" s="14" t="s">
        <v>79</v>
      </c>
      <c r="E63" s="15" t="s">
        <v>220</v>
      </c>
      <c r="F63" s="15" t="s">
        <v>40</v>
      </c>
      <c r="G63" s="15" t="s">
        <v>21</v>
      </c>
      <c r="H63" s="15" t="s">
        <v>150</v>
      </c>
      <c r="I63" s="14" t="s">
        <v>82</v>
      </c>
      <c r="J63" s="16">
        <v>261.0</v>
      </c>
      <c r="K63" s="16">
        <v>261.0</v>
      </c>
      <c r="L63" s="16">
        <v>0.0</v>
      </c>
      <c r="M63" s="16">
        <v>261.0</v>
      </c>
      <c r="N63" s="14" t="s">
        <v>83</v>
      </c>
      <c r="O63" s="15"/>
    </row>
    <row r="64" ht="15.0" customHeight="1">
      <c r="A64" s="13">
        <v>45823.0</v>
      </c>
      <c r="B64" s="14" t="s">
        <v>221</v>
      </c>
      <c r="C64" s="14" t="s">
        <v>170</v>
      </c>
      <c r="D64" s="14" t="s">
        <v>79</v>
      </c>
      <c r="E64" s="15" t="s">
        <v>222</v>
      </c>
      <c r="F64" s="15" t="s">
        <v>42</v>
      </c>
      <c r="G64" s="15" t="s">
        <v>18</v>
      </c>
      <c r="H64" s="15" t="s">
        <v>128</v>
      </c>
      <c r="I64" s="14" t="s">
        <v>82</v>
      </c>
      <c r="J64" s="16">
        <v>1986.0</v>
      </c>
      <c r="K64" s="16">
        <v>1986.0</v>
      </c>
      <c r="L64" s="16">
        <v>0.0</v>
      </c>
      <c r="M64" s="16">
        <v>1986.0</v>
      </c>
      <c r="N64" s="14" t="s">
        <v>83</v>
      </c>
      <c r="O64" s="15"/>
    </row>
    <row r="65" ht="15.0" customHeight="1">
      <c r="A65" s="13">
        <v>45824.0</v>
      </c>
      <c r="B65" s="14" t="s">
        <v>223</v>
      </c>
      <c r="C65" s="14" t="s">
        <v>170</v>
      </c>
      <c r="D65" s="14" t="s">
        <v>79</v>
      </c>
      <c r="E65" s="15" t="s">
        <v>224</v>
      </c>
      <c r="F65" s="15" t="s">
        <v>57</v>
      </c>
      <c r="G65" s="15" t="s">
        <v>12</v>
      </c>
      <c r="H65" s="15" t="s">
        <v>225</v>
      </c>
      <c r="I65" s="14" t="s">
        <v>82</v>
      </c>
      <c r="J65" s="16">
        <v>24626.0</v>
      </c>
      <c r="K65" s="16">
        <v>24626.0</v>
      </c>
      <c r="L65" s="16">
        <v>0.0</v>
      </c>
      <c r="M65" s="16">
        <v>24626.0</v>
      </c>
      <c r="N65" s="14" t="s">
        <v>83</v>
      </c>
      <c r="O65" s="15"/>
    </row>
    <row r="66" ht="15.0" customHeight="1">
      <c r="A66" s="13">
        <v>45827.0</v>
      </c>
      <c r="B66" s="14" t="s">
        <v>226</v>
      </c>
      <c r="C66" s="14" t="s">
        <v>170</v>
      </c>
      <c r="D66" s="14" t="s">
        <v>79</v>
      </c>
      <c r="E66" s="15" t="s">
        <v>227</v>
      </c>
      <c r="F66" s="15" t="s">
        <v>38</v>
      </c>
      <c r="G66" s="15" t="s">
        <v>12</v>
      </c>
      <c r="H66" s="15" t="s">
        <v>225</v>
      </c>
      <c r="I66" s="14" t="s">
        <v>82</v>
      </c>
      <c r="J66" s="16">
        <v>118740.0</v>
      </c>
      <c r="K66" s="16">
        <v>118740.0</v>
      </c>
      <c r="L66" s="16">
        <v>0.0</v>
      </c>
      <c r="M66" s="16">
        <v>118740.0</v>
      </c>
      <c r="N66" s="14" t="s">
        <v>83</v>
      </c>
      <c r="O66" s="15" t="s">
        <v>228</v>
      </c>
    </row>
    <row r="67" ht="15.0" customHeight="1">
      <c r="A67" s="13">
        <v>45828.0</v>
      </c>
      <c r="B67" s="14" t="s">
        <v>229</v>
      </c>
      <c r="C67" s="14" t="s">
        <v>170</v>
      </c>
      <c r="D67" s="14" t="s">
        <v>79</v>
      </c>
      <c r="E67" s="15" t="s">
        <v>155</v>
      </c>
      <c r="F67" s="15" t="s">
        <v>39</v>
      </c>
      <c r="G67" s="15" t="s">
        <v>15</v>
      </c>
      <c r="H67" s="15" t="s">
        <v>156</v>
      </c>
      <c r="I67" s="14" t="s">
        <v>82</v>
      </c>
      <c r="J67" s="16">
        <v>900.0</v>
      </c>
      <c r="K67" s="16">
        <v>900.0</v>
      </c>
      <c r="L67" s="16">
        <v>0.0</v>
      </c>
      <c r="M67" s="16">
        <v>900.0</v>
      </c>
      <c r="N67" s="14" t="s">
        <v>83</v>
      </c>
      <c r="O67" s="15"/>
    </row>
    <row r="68" ht="15.0" customHeight="1">
      <c r="A68" s="13">
        <v>45828.0</v>
      </c>
      <c r="B68" s="14" t="s">
        <v>230</v>
      </c>
      <c r="C68" s="14" t="s">
        <v>170</v>
      </c>
      <c r="D68" s="14" t="s">
        <v>79</v>
      </c>
      <c r="E68" s="15" t="s">
        <v>173</v>
      </c>
      <c r="F68" s="15" t="s">
        <v>44</v>
      </c>
      <c r="G68" s="15" t="s">
        <v>29</v>
      </c>
      <c r="H68" s="15" t="s">
        <v>118</v>
      </c>
      <c r="I68" s="14" t="s">
        <v>82</v>
      </c>
      <c r="J68" s="16">
        <v>1388.0</v>
      </c>
      <c r="K68" s="16">
        <v>1388.0</v>
      </c>
      <c r="L68" s="16">
        <v>0.0</v>
      </c>
      <c r="M68" s="16">
        <v>1388.0</v>
      </c>
      <c r="N68" s="14" t="s">
        <v>83</v>
      </c>
      <c r="O68" s="15"/>
    </row>
    <row r="69" ht="15.0" customHeight="1">
      <c r="A69" s="13">
        <v>45801.0</v>
      </c>
      <c r="B69" s="14" t="s">
        <v>231</v>
      </c>
      <c r="C69" s="14" t="s">
        <v>170</v>
      </c>
      <c r="D69" s="14" t="s">
        <v>160</v>
      </c>
      <c r="E69" s="15" t="s">
        <v>155</v>
      </c>
      <c r="F69" s="15" t="s">
        <v>39</v>
      </c>
      <c r="G69" s="15" t="s">
        <v>15</v>
      </c>
      <c r="H69" s="15" t="s">
        <v>156</v>
      </c>
      <c r="I69" s="14" t="s">
        <v>82</v>
      </c>
      <c r="J69" s="16">
        <v>890.0</v>
      </c>
      <c r="K69" s="16">
        <v>890.0</v>
      </c>
      <c r="L69" s="16">
        <v>0.0</v>
      </c>
      <c r="M69" s="16">
        <v>890.0</v>
      </c>
      <c r="N69" s="14" t="s">
        <v>83</v>
      </c>
      <c r="O69" s="15"/>
    </row>
    <row r="70" ht="15.0" customHeight="1">
      <c r="A70" s="13">
        <v>45825.0</v>
      </c>
      <c r="B70" s="14" t="s">
        <v>232</v>
      </c>
      <c r="C70" s="14" t="s">
        <v>170</v>
      </c>
      <c r="D70" s="14" t="s">
        <v>126</v>
      </c>
      <c r="E70" s="15" t="s">
        <v>184</v>
      </c>
      <c r="F70" s="15" t="s">
        <v>39</v>
      </c>
      <c r="G70" s="15" t="s">
        <v>15</v>
      </c>
      <c r="H70" s="15" t="s">
        <v>156</v>
      </c>
      <c r="I70" s="14" t="s">
        <v>82</v>
      </c>
      <c r="J70" s="16">
        <v>1150.0</v>
      </c>
      <c r="K70" s="16">
        <v>1150.0</v>
      </c>
      <c r="L70" s="16">
        <v>0.0</v>
      </c>
      <c r="M70" s="16">
        <v>1150.0</v>
      </c>
      <c r="N70" s="14" t="s">
        <v>83</v>
      </c>
      <c r="O70" s="15"/>
    </row>
    <row r="71" ht="15.0" customHeight="1">
      <c r="A71" s="13">
        <v>45828.0</v>
      </c>
      <c r="B71" s="14" t="s">
        <v>233</v>
      </c>
      <c r="C71" s="14" t="s">
        <v>170</v>
      </c>
      <c r="D71" s="14" t="s">
        <v>126</v>
      </c>
      <c r="E71" s="15" t="s">
        <v>234</v>
      </c>
      <c r="F71" s="15" t="s">
        <v>44</v>
      </c>
      <c r="G71" s="15" t="s">
        <v>29</v>
      </c>
      <c r="H71" s="15" t="s">
        <v>118</v>
      </c>
      <c r="I71" s="14" t="s">
        <v>82</v>
      </c>
      <c r="J71" s="16">
        <v>2636.31</v>
      </c>
      <c r="K71" s="16">
        <v>2636.31</v>
      </c>
      <c r="L71" s="16">
        <v>0.0</v>
      </c>
      <c r="M71" s="16">
        <v>2636.31</v>
      </c>
      <c r="N71" s="14" t="s">
        <v>83</v>
      </c>
      <c r="O71" s="15"/>
    </row>
    <row r="72" ht="15.0" customHeight="1">
      <c r="A72" s="13">
        <v>45830.0</v>
      </c>
      <c r="B72" s="14" t="s">
        <v>235</v>
      </c>
      <c r="C72" s="14" t="s">
        <v>170</v>
      </c>
      <c r="D72" s="14" t="s">
        <v>126</v>
      </c>
      <c r="E72" s="15" t="s">
        <v>236</v>
      </c>
      <c r="F72" s="15" t="s">
        <v>42</v>
      </c>
      <c r="G72" s="15" t="s">
        <v>18</v>
      </c>
      <c r="H72" s="15" t="s">
        <v>128</v>
      </c>
      <c r="I72" s="14" t="s">
        <v>82</v>
      </c>
      <c r="J72" s="16">
        <v>2460.0</v>
      </c>
      <c r="K72" s="16">
        <v>2460.0</v>
      </c>
      <c r="L72" s="16">
        <v>0.0</v>
      </c>
      <c r="M72" s="16">
        <v>2460.0</v>
      </c>
      <c r="N72" s="14" t="s">
        <v>83</v>
      </c>
      <c r="O72" s="15"/>
    </row>
    <row r="73" ht="15.0" customHeight="1">
      <c r="A73" s="13">
        <v>45830.0</v>
      </c>
      <c r="B73" s="14" t="s">
        <v>237</v>
      </c>
      <c r="C73" s="14" t="s">
        <v>170</v>
      </c>
      <c r="D73" s="14" t="s">
        <v>126</v>
      </c>
      <c r="E73" s="15" t="s">
        <v>155</v>
      </c>
      <c r="F73" s="15" t="s">
        <v>39</v>
      </c>
      <c r="G73" s="15" t="s">
        <v>15</v>
      </c>
      <c r="H73" s="15" t="s">
        <v>156</v>
      </c>
      <c r="I73" s="14" t="s">
        <v>82</v>
      </c>
      <c r="J73" s="16">
        <v>2160.0</v>
      </c>
      <c r="K73" s="16">
        <v>2160.0</v>
      </c>
      <c r="L73" s="16">
        <v>0.0</v>
      </c>
      <c r="M73" s="16">
        <v>2160.0</v>
      </c>
      <c r="N73" s="14" t="s">
        <v>83</v>
      </c>
      <c r="O73" s="15"/>
    </row>
    <row r="74" ht="15.0" customHeight="1">
      <c r="A74" s="13">
        <v>45836.0</v>
      </c>
      <c r="B74" s="14" t="s">
        <v>238</v>
      </c>
      <c r="C74" s="14" t="s">
        <v>239</v>
      </c>
      <c r="D74" s="14" t="s">
        <v>79</v>
      </c>
      <c r="E74" s="15" t="s">
        <v>240</v>
      </c>
      <c r="F74" s="15" t="s">
        <v>42</v>
      </c>
      <c r="G74" s="15" t="s">
        <v>18</v>
      </c>
      <c r="H74" s="15" t="s">
        <v>128</v>
      </c>
      <c r="I74" s="14" t="s">
        <v>82</v>
      </c>
      <c r="J74" s="16">
        <v>3156.0</v>
      </c>
      <c r="K74" s="16">
        <v>3156.0</v>
      </c>
      <c r="L74" s="16">
        <v>0.0</v>
      </c>
      <c r="M74" s="16">
        <v>3156.0</v>
      </c>
      <c r="N74" s="14" t="s">
        <v>83</v>
      </c>
      <c r="O74" s="15"/>
    </row>
    <row r="75" ht="15.0" customHeight="1">
      <c r="A75" s="13">
        <v>45837.0</v>
      </c>
      <c r="B75" s="14" t="s">
        <v>241</v>
      </c>
      <c r="C75" s="14" t="s">
        <v>239</v>
      </c>
      <c r="D75" s="14" t="s">
        <v>79</v>
      </c>
      <c r="E75" s="15" t="s">
        <v>242</v>
      </c>
      <c r="F75" s="15" t="s">
        <v>242</v>
      </c>
      <c r="G75" s="15" t="s">
        <v>50</v>
      </c>
      <c r="H75" s="15" t="s">
        <v>113</v>
      </c>
      <c r="I75" s="14" t="s">
        <v>82</v>
      </c>
      <c r="J75" s="16">
        <v>3136.41</v>
      </c>
      <c r="K75" s="16">
        <v>3136.41</v>
      </c>
      <c r="L75" s="16">
        <v>0.0</v>
      </c>
      <c r="M75" s="16">
        <v>3136.41</v>
      </c>
      <c r="N75" s="14" t="s">
        <v>114</v>
      </c>
      <c r="O75" s="15" t="s">
        <v>212</v>
      </c>
    </row>
    <row r="76" ht="15.0" customHeight="1">
      <c r="A76" s="13">
        <v>45839.0</v>
      </c>
      <c r="B76" s="14" t="s">
        <v>243</v>
      </c>
      <c r="C76" s="14" t="s">
        <v>239</v>
      </c>
      <c r="D76" s="14" t="s">
        <v>79</v>
      </c>
      <c r="E76" s="15" t="s">
        <v>244</v>
      </c>
      <c r="F76" s="15" t="s">
        <v>53</v>
      </c>
      <c r="G76" s="15" t="s">
        <v>36</v>
      </c>
      <c r="H76" s="15" t="s">
        <v>217</v>
      </c>
      <c r="I76" s="14" t="s">
        <v>82</v>
      </c>
      <c r="J76" s="16">
        <v>5206.5</v>
      </c>
      <c r="K76" s="16">
        <v>5206.5</v>
      </c>
      <c r="L76" s="16">
        <v>0.0</v>
      </c>
      <c r="M76" s="16">
        <v>5206.5</v>
      </c>
      <c r="N76" s="14" t="s">
        <v>97</v>
      </c>
      <c r="O76" s="15" t="s">
        <v>218</v>
      </c>
    </row>
    <row r="77" ht="15.0" customHeight="1">
      <c r="A77" s="13">
        <v>45839.0</v>
      </c>
      <c r="B77" s="14" t="s">
        <v>245</v>
      </c>
      <c r="C77" s="14" t="s">
        <v>239</v>
      </c>
      <c r="D77" s="14" t="s">
        <v>79</v>
      </c>
      <c r="E77" s="15" t="s">
        <v>80</v>
      </c>
      <c r="F77" s="15" t="s">
        <v>51</v>
      </c>
      <c r="G77" s="15" t="s">
        <v>30</v>
      </c>
      <c r="H77" s="15" t="s">
        <v>81</v>
      </c>
      <c r="I77" s="14" t="s">
        <v>82</v>
      </c>
      <c r="J77" s="16">
        <v>649.0</v>
      </c>
      <c r="K77" s="16">
        <v>649.0</v>
      </c>
      <c r="L77" s="16">
        <v>0.0</v>
      </c>
      <c r="M77" s="16">
        <v>649.0</v>
      </c>
      <c r="N77" s="14" t="s">
        <v>83</v>
      </c>
      <c r="O77" s="15"/>
    </row>
    <row r="78" ht="15.0" customHeight="1">
      <c r="A78" s="13">
        <v>45841.0</v>
      </c>
      <c r="B78" s="14" t="s">
        <v>246</v>
      </c>
      <c r="C78" s="14" t="s">
        <v>239</v>
      </c>
      <c r="D78" s="14" t="s">
        <v>79</v>
      </c>
      <c r="E78" s="15" t="s">
        <v>247</v>
      </c>
      <c r="F78" s="15" t="s">
        <v>45</v>
      </c>
      <c r="G78" s="15" t="s">
        <v>15</v>
      </c>
      <c r="H78" s="15" t="s">
        <v>248</v>
      </c>
      <c r="I78" s="14" t="s">
        <v>82</v>
      </c>
      <c r="J78" s="16">
        <v>3838.92</v>
      </c>
      <c r="K78" s="16">
        <v>3838.92</v>
      </c>
      <c r="L78" s="16">
        <v>0.0</v>
      </c>
      <c r="M78" s="16">
        <v>3838.92</v>
      </c>
      <c r="N78" s="14" t="s">
        <v>83</v>
      </c>
      <c r="O78" s="15"/>
    </row>
    <row r="79" ht="15.0" customHeight="1">
      <c r="A79" s="13">
        <v>45842.0</v>
      </c>
      <c r="B79" s="14" t="s">
        <v>249</v>
      </c>
      <c r="C79" s="14" t="s">
        <v>239</v>
      </c>
      <c r="D79" s="14" t="s">
        <v>79</v>
      </c>
      <c r="E79" s="15" t="s">
        <v>250</v>
      </c>
      <c r="F79" s="15" t="s">
        <v>41</v>
      </c>
      <c r="G79" s="15" t="s">
        <v>18</v>
      </c>
      <c r="H79" s="15" t="s">
        <v>251</v>
      </c>
      <c r="I79" s="14" t="s">
        <v>82</v>
      </c>
      <c r="J79" s="16">
        <v>568.0</v>
      </c>
      <c r="K79" s="16">
        <v>568.0</v>
      </c>
      <c r="L79" s="16">
        <v>0.0</v>
      </c>
      <c r="M79" s="16">
        <v>568.0</v>
      </c>
      <c r="N79" s="14" t="s">
        <v>83</v>
      </c>
      <c r="O79" s="15"/>
    </row>
    <row r="80" ht="15.0" customHeight="1">
      <c r="A80" s="13">
        <v>45843.0</v>
      </c>
      <c r="B80" s="14" t="s">
        <v>252</v>
      </c>
      <c r="C80" s="14" t="s">
        <v>239</v>
      </c>
      <c r="D80" s="14" t="s">
        <v>79</v>
      </c>
      <c r="E80" s="15" t="s">
        <v>253</v>
      </c>
      <c r="F80" s="15" t="s">
        <v>101</v>
      </c>
      <c r="G80" s="15" t="s">
        <v>102</v>
      </c>
      <c r="H80" s="15" t="s">
        <v>101</v>
      </c>
      <c r="I80" s="14" t="s">
        <v>103</v>
      </c>
      <c r="J80" s="16">
        <v>-193005.0</v>
      </c>
      <c r="K80" s="16">
        <v>0.0</v>
      </c>
      <c r="L80" s="16">
        <v>0.0</v>
      </c>
      <c r="M80" s="16">
        <v>0.0</v>
      </c>
      <c r="N80" s="14" t="s">
        <v>83</v>
      </c>
      <c r="O80" s="15" t="s">
        <v>104</v>
      </c>
    </row>
    <row r="81" ht="15.0" customHeight="1">
      <c r="A81" s="13">
        <v>45843.0</v>
      </c>
      <c r="B81" s="14" t="s">
        <v>254</v>
      </c>
      <c r="C81" s="14" t="s">
        <v>239</v>
      </c>
      <c r="D81" s="14" t="s">
        <v>79</v>
      </c>
      <c r="E81" s="15" t="s">
        <v>92</v>
      </c>
      <c r="F81" s="15" t="s">
        <v>51</v>
      </c>
      <c r="G81" s="15" t="s">
        <v>30</v>
      </c>
      <c r="H81" s="15" t="s">
        <v>81</v>
      </c>
      <c r="I81" s="14" t="s">
        <v>82</v>
      </c>
      <c r="J81" s="16">
        <v>299.0</v>
      </c>
      <c r="K81" s="16">
        <v>299.0</v>
      </c>
      <c r="L81" s="16">
        <v>0.0</v>
      </c>
      <c r="M81" s="16">
        <v>299.0</v>
      </c>
      <c r="N81" s="14" t="s">
        <v>83</v>
      </c>
      <c r="O81" s="15"/>
    </row>
    <row r="82" ht="15.0" customHeight="1">
      <c r="A82" s="13">
        <v>45855.0</v>
      </c>
      <c r="B82" s="14" t="s">
        <v>255</v>
      </c>
      <c r="C82" s="14" t="s">
        <v>239</v>
      </c>
      <c r="D82" s="14" t="s">
        <v>79</v>
      </c>
      <c r="E82" s="15" t="s">
        <v>180</v>
      </c>
      <c r="F82" s="15" t="s">
        <v>44</v>
      </c>
      <c r="G82" s="15" t="s">
        <v>29</v>
      </c>
      <c r="H82" s="15" t="s">
        <v>118</v>
      </c>
      <c r="I82" s="14" t="s">
        <v>82</v>
      </c>
      <c r="J82" s="16">
        <v>431.0</v>
      </c>
      <c r="K82" s="16">
        <v>431.0</v>
      </c>
      <c r="L82" s="16">
        <v>0.0</v>
      </c>
      <c r="M82" s="16">
        <v>431.0</v>
      </c>
      <c r="N82" s="14" t="s">
        <v>83</v>
      </c>
      <c r="O82" s="15"/>
    </row>
    <row r="83" ht="15.0" customHeight="1">
      <c r="A83" s="13">
        <v>45855.0</v>
      </c>
      <c r="B83" s="14" t="s">
        <v>256</v>
      </c>
      <c r="C83" s="14" t="s">
        <v>239</v>
      </c>
      <c r="D83" s="14" t="s">
        <v>79</v>
      </c>
      <c r="E83" s="15" t="s">
        <v>257</v>
      </c>
      <c r="F83" s="15" t="s">
        <v>40</v>
      </c>
      <c r="G83" s="15" t="s">
        <v>21</v>
      </c>
      <c r="H83" s="15" t="s">
        <v>150</v>
      </c>
      <c r="I83" s="14" t="s">
        <v>82</v>
      </c>
      <c r="J83" s="16">
        <v>660.0</v>
      </c>
      <c r="K83" s="16">
        <v>660.0</v>
      </c>
      <c r="L83" s="16">
        <v>0.0</v>
      </c>
      <c r="M83" s="16">
        <v>660.0</v>
      </c>
      <c r="N83" s="14" t="s">
        <v>83</v>
      </c>
      <c r="O83" s="15"/>
    </row>
    <row r="84" ht="15.0" customHeight="1">
      <c r="A84" s="13">
        <v>45857.0</v>
      </c>
      <c r="B84" s="14" t="s">
        <v>258</v>
      </c>
      <c r="C84" s="14" t="s">
        <v>239</v>
      </c>
      <c r="D84" s="14" t="s">
        <v>79</v>
      </c>
      <c r="E84" s="15" t="s">
        <v>247</v>
      </c>
      <c r="F84" s="15" t="s">
        <v>45</v>
      </c>
      <c r="G84" s="15" t="s">
        <v>15</v>
      </c>
      <c r="H84" s="15" t="s">
        <v>248</v>
      </c>
      <c r="I84" s="14" t="s">
        <v>82</v>
      </c>
      <c r="J84" s="16">
        <v>10063.88</v>
      </c>
      <c r="K84" s="16">
        <v>10063.88</v>
      </c>
      <c r="L84" s="16">
        <v>0.0</v>
      </c>
      <c r="M84" s="16">
        <v>10063.88</v>
      </c>
      <c r="N84" s="14" t="s">
        <v>83</v>
      </c>
      <c r="O84" s="15"/>
    </row>
    <row r="85" ht="15.0" customHeight="1">
      <c r="A85" s="13">
        <v>45857.0</v>
      </c>
      <c r="B85" s="14" t="s">
        <v>259</v>
      </c>
      <c r="C85" s="14" t="s">
        <v>239</v>
      </c>
      <c r="D85" s="14" t="s">
        <v>79</v>
      </c>
      <c r="E85" s="15" t="s">
        <v>260</v>
      </c>
      <c r="F85" s="15" t="s">
        <v>41</v>
      </c>
      <c r="G85" s="15" t="s">
        <v>18</v>
      </c>
      <c r="H85" s="15" t="s">
        <v>251</v>
      </c>
      <c r="I85" s="14" t="s">
        <v>82</v>
      </c>
      <c r="J85" s="16">
        <v>690.0</v>
      </c>
      <c r="K85" s="16">
        <v>690.0</v>
      </c>
      <c r="L85" s="16">
        <v>0.0</v>
      </c>
      <c r="M85" s="16">
        <v>690.0</v>
      </c>
      <c r="N85" s="14" t="s">
        <v>83</v>
      </c>
      <c r="O85" s="15"/>
    </row>
    <row r="86" ht="15.0" customHeight="1">
      <c r="A86" s="13">
        <v>45859.0</v>
      </c>
      <c r="B86" s="14" t="s">
        <v>261</v>
      </c>
      <c r="C86" s="14" t="s">
        <v>239</v>
      </c>
      <c r="D86" s="14" t="s">
        <v>79</v>
      </c>
      <c r="E86" s="15" t="s">
        <v>155</v>
      </c>
      <c r="F86" s="15" t="s">
        <v>39</v>
      </c>
      <c r="G86" s="15" t="s">
        <v>15</v>
      </c>
      <c r="H86" s="15" t="s">
        <v>156</v>
      </c>
      <c r="I86" s="14" t="s">
        <v>82</v>
      </c>
      <c r="J86" s="16">
        <v>3149.0</v>
      </c>
      <c r="K86" s="16">
        <v>3149.0</v>
      </c>
      <c r="L86" s="16">
        <v>0.0</v>
      </c>
      <c r="M86" s="16">
        <v>3149.0</v>
      </c>
      <c r="N86" s="14" t="s">
        <v>83</v>
      </c>
      <c r="O86" s="15"/>
    </row>
    <row r="87" ht="15.0" customHeight="1">
      <c r="A87" s="13">
        <v>45859.0</v>
      </c>
      <c r="B87" s="14" t="s">
        <v>262</v>
      </c>
      <c r="C87" s="14" t="s">
        <v>239</v>
      </c>
      <c r="D87" s="14" t="s">
        <v>79</v>
      </c>
      <c r="E87" s="15" t="s">
        <v>155</v>
      </c>
      <c r="F87" s="15" t="s">
        <v>39</v>
      </c>
      <c r="G87" s="15" t="s">
        <v>15</v>
      </c>
      <c r="H87" s="15" t="s">
        <v>156</v>
      </c>
      <c r="I87" s="14" t="s">
        <v>82</v>
      </c>
      <c r="J87" s="16">
        <v>900.0</v>
      </c>
      <c r="K87" s="16">
        <v>900.0</v>
      </c>
      <c r="L87" s="16">
        <v>0.0</v>
      </c>
      <c r="M87" s="16">
        <v>900.0</v>
      </c>
      <c r="N87" s="14" t="s">
        <v>83</v>
      </c>
      <c r="O87" s="15"/>
    </row>
    <row r="88" ht="15.0" customHeight="1">
      <c r="A88" s="13">
        <v>45860.0</v>
      </c>
      <c r="B88" s="14"/>
      <c r="C88" s="14" t="s">
        <v>239</v>
      </c>
      <c r="D88" s="14" t="s">
        <v>79</v>
      </c>
      <c r="E88" s="15" t="s">
        <v>247</v>
      </c>
      <c r="F88" s="15" t="s">
        <v>45</v>
      </c>
      <c r="G88" s="15" t="s">
        <v>15</v>
      </c>
      <c r="H88" s="15" t="s">
        <v>248</v>
      </c>
      <c r="I88" s="14" t="s">
        <v>175</v>
      </c>
      <c r="J88" s="16">
        <v>-8822.11</v>
      </c>
      <c r="K88" s="16">
        <v>0.0</v>
      </c>
      <c r="L88" s="16">
        <v>8822.11</v>
      </c>
      <c r="M88" s="16">
        <v>-8822.11</v>
      </c>
      <c r="N88" s="14" t="s">
        <v>83</v>
      </c>
      <c r="O88" s="15"/>
    </row>
    <row r="89" ht="15.0" customHeight="1">
      <c r="A89" s="13">
        <v>45857.0</v>
      </c>
      <c r="B89" s="14" t="s">
        <v>263</v>
      </c>
      <c r="C89" s="14" t="s">
        <v>239</v>
      </c>
      <c r="D89" s="14" t="s">
        <v>160</v>
      </c>
      <c r="E89" s="15" t="s">
        <v>155</v>
      </c>
      <c r="F89" s="15" t="s">
        <v>39</v>
      </c>
      <c r="G89" s="15" t="s">
        <v>15</v>
      </c>
      <c r="H89" s="15" t="s">
        <v>156</v>
      </c>
      <c r="I89" s="14" t="s">
        <v>82</v>
      </c>
      <c r="J89" s="16">
        <v>5000.0</v>
      </c>
      <c r="K89" s="16">
        <v>5000.0</v>
      </c>
      <c r="L89" s="16">
        <v>0.0</v>
      </c>
      <c r="M89" s="16">
        <v>5000.0</v>
      </c>
      <c r="N89" s="14" t="s">
        <v>83</v>
      </c>
      <c r="O89" s="15"/>
    </row>
    <row r="90" ht="15.0" customHeight="1">
      <c r="A90" s="13">
        <v>45861.0</v>
      </c>
      <c r="B90" s="14" t="s">
        <v>264</v>
      </c>
      <c r="C90" s="14" t="s">
        <v>265</v>
      </c>
      <c r="D90" s="14" t="s">
        <v>79</v>
      </c>
      <c r="E90" s="15" t="s">
        <v>266</v>
      </c>
      <c r="F90" s="15" t="s">
        <v>44</v>
      </c>
      <c r="G90" s="15" t="s">
        <v>29</v>
      </c>
      <c r="H90" s="15" t="s">
        <v>118</v>
      </c>
      <c r="I90" s="14" t="s">
        <v>82</v>
      </c>
      <c r="J90" s="16">
        <v>179.51</v>
      </c>
      <c r="K90" s="16">
        <v>179.51</v>
      </c>
      <c r="L90" s="16">
        <v>0.0</v>
      </c>
      <c r="M90" s="16">
        <v>179.51</v>
      </c>
      <c r="N90" s="14" t="s">
        <v>83</v>
      </c>
      <c r="O90" s="15"/>
    </row>
    <row r="91" ht="15.0" customHeight="1">
      <c r="A91" s="13">
        <v>45863.0</v>
      </c>
      <c r="B91" s="14" t="s">
        <v>267</v>
      </c>
      <c r="C91" s="14" t="s">
        <v>265</v>
      </c>
      <c r="D91" s="14" t="s">
        <v>79</v>
      </c>
      <c r="E91" s="15" t="s">
        <v>268</v>
      </c>
      <c r="F91" s="15" t="s">
        <v>269</v>
      </c>
      <c r="G91" s="15" t="s">
        <v>60</v>
      </c>
      <c r="H91" s="15" t="s">
        <v>270</v>
      </c>
      <c r="I91" s="14" t="s">
        <v>82</v>
      </c>
      <c r="J91" s="16">
        <v>3000.0</v>
      </c>
      <c r="K91" s="16">
        <v>3000.0</v>
      </c>
      <c r="L91" s="16">
        <v>0.0</v>
      </c>
      <c r="M91" s="16">
        <v>3000.0</v>
      </c>
      <c r="N91" s="14" t="s">
        <v>83</v>
      </c>
      <c r="O91" s="15"/>
    </row>
    <row r="92" ht="15.0" customHeight="1">
      <c r="A92" s="13">
        <v>45864.0</v>
      </c>
      <c r="B92" s="14" t="s">
        <v>271</v>
      </c>
      <c r="C92" s="14" t="s">
        <v>265</v>
      </c>
      <c r="D92" s="14" t="s">
        <v>79</v>
      </c>
      <c r="E92" s="15" t="s">
        <v>272</v>
      </c>
      <c r="F92" s="15" t="s">
        <v>42</v>
      </c>
      <c r="G92" s="15" t="s">
        <v>18</v>
      </c>
      <c r="H92" s="15" t="s">
        <v>128</v>
      </c>
      <c r="I92" s="14" t="s">
        <v>82</v>
      </c>
      <c r="J92" s="16">
        <v>440.0</v>
      </c>
      <c r="K92" s="16">
        <v>440.0</v>
      </c>
      <c r="L92" s="16">
        <v>0.0</v>
      </c>
      <c r="M92" s="16">
        <v>440.0</v>
      </c>
      <c r="N92" s="14" t="s">
        <v>83</v>
      </c>
      <c r="O92" s="15"/>
    </row>
    <row r="93" ht="15.0" customHeight="1">
      <c r="A93" s="13">
        <v>45865.0</v>
      </c>
      <c r="B93" s="14" t="s">
        <v>273</v>
      </c>
      <c r="C93" s="14" t="s">
        <v>265</v>
      </c>
      <c r="D93" s="14" t="s">
        <v>79</v>
      </c>
      <c r="E93" s="15" t="s">
        <v>274</v>
      </c>
      <c r="F93" s="15" t="s">
        <v>40</v>
      </c>
      <c r="G93" s="15" t="s">
        <v>21</v>
      </c>
      <c r="H93" s="15" t="s">
        <v>150</v>
      </c>
      <c r="I93" s="14" t="s">
        <v>82</v>
      </c>
      <c r="J93" s="16">
        <v>6590.0</v>
      </c>
      <c r="K93" s="16">
        <v>6590.0</v>
      </c>
      <c r="L93" s="16">
        <v>0.0</v>
      </c>
      <c r="M93" s="16">
        <v>6590.0</v>
      </c>
      <c r="N93" s="14" t="s">
        <v>83</v>
      </c>
      <c r="O93" s="15"/>
    </row>
    <row r="94" ht="15.0" customHeight="1">
      <c r="A94" s="13">
        <v>45865.0</v>
      </c>
      <c r="B94" s="14" t="s">
        <v>275</v>
      </c>
      <c r="C94" s="14" t="s">
        <v>265</v>
      </c>
      <c r="D94" s="14" t="s">
        <v>79</v>
      </c>
      <c r="E94" s="15" t="s">
        <v>276</v>
      </c>
      <c r="F94" s="15" t="s">
        <v>40</v>
      </c>
      <c r="G94" s="15" t="s">
        <v>21</v>
      </c>
      <c r="H94" s="15" t="s">
        <v>150</v>
      </c>
      <c r="I94" s="14" t="s">
        <v>82</v>
      </c>
      <c r="J94" s="16">
        <v>4575.0</v>
      </c>
      <c r="K94" s="16">
        <v>4575.0</v>
      </c>
      <c r="L94" s="16">
        <v>0.0</v>
      </c>
      <c r="M94" s="16">
        <v>4575.0</v>
      </c>
      <c r="N94" s="14" t="s">
        <v>97</v>
      </c>
      <c r="O94" s="15"/>
    </row>
    <row r="95" ht="15.0" customHeight="1">
      <c r="A95" s="13">
        <v>45865.0</v>
      </c>
      <c r="B95" s="14" t="s">
        <v>277</v>
      </c>
      <c r="C95" s="14" t="s">
        <v>265</v>
      </c>
      <c r="D95" s="14" t="s">
        <v>79</v>
      </c>
      <c r="E95" s="15" t="s">
        <v>278</v>
      </c>
      <c r="F95" s="15" t="s">
        <v>279</v>
      </c>
      <c r="G95" s="15" t="s">
        <v>21</v>
      </c>
      <c r="H95" s="15" t="s">
        <v>280</v>
      </c>
      <c r="I95" s="14" t="s">
        <v>82</v>
      </c>
      <c r="J95" s="16">
        <v>9145.0</v>
      </c>
      <c r="K95" s="16">
        <v>9145.0</v>
      </c>
      <c r="L95" s="16">
        <v>0.0</v>
      </c>
      <c r="M95" s="16">
        <v>9145.0</v>
      </c>
      <c r="N95" s="14" t="s">
        <v>114</v>
      </c>
      <c r="O95" s="15" t="s">
        <v>281</v>
      </c>
    </row>
    <row r="96" ht="15.0" customHeight="1">
      <c r="A96" s="13">
        <v>45866.0</v>
      </c>
      <c r="B96" s="14" t="s">
        <v>282</v>
      </c>
      <c r="C96" s="14" t="s">
        <v>265</v>
      </c>
      <c r="D96" s="14" t="s">
        <v>79</v>
      </c>
      <c r="E96" s="15" t="s">
        <v>283</v>
      </c>
      <c r="F96" s="15" t="s">
        <v>42</v>
      </c>
      <c r="G96" s="15" t="s">
        <v>18</v>
      </c>
      <c r="H96" s="15" t="s">
        <v>128</v>
      </c>
      <c r="I96" s="14" t="s">
        <v>82</v>
      </c>
      <c r="J96" s="16">
        <v>741.0</v>
      </c>
      <c r="K96" s="16">
        <v>741.0</v>
      </c>
      <c r="L96" s="16">
        <v>0.0</v>
      </c>
      <c r="M96" s="16">
        <v>741.0</v>
      </c>
      <c r="N96" s="14" t="s">
        <v>83</v>
      </c>
      <c r="O96" s="15"/>
    </row>
    <row r="97" ht="15.0" customHeight="1">
      <c r="A97" s="13">
        <v>45870.0</v>
      </c>
      <c r="B97" s="14" t="s">
        <v>284</v>
      </c>
      <c r="C97" s="14" t="s">
        <v>265</v>
      </c>
      <c r="D97" s="14" t="s">
        <v>79</v>
      </c>
      <c r="E97" s="15" t="s">
        <v>285</v>
      </c>
      <c r="F97" s="15" t="s">
        <v>51</v>
      </c>
      <c r="G97" s="15" t="s">
        <v>30</v>
      </c>
      <c r="H97" s="15" t="s">
        <v>81</v>
      </c>
      <c r="I97" s="14" t="s">
        <v>82</v>
      </c>
      <c r="J97" s="16">
        <v>649.0</v>
      </c>
      <c r="K97" s="16">
        <v>649.0</v>
      </c>
      <c r="L97" s="16">
        <v>0.0</v>
      </c>
      <c r="M97" s="16">
        <v>649.0</v>
      </c>
      <c r="N97" s="14" t="s">
        <v>83</v>
      </c>
      <c r="O97" s="15"/>
    </row>
    <row r="98" ht="15.0" customHeight="1">
      <c r="A98" s="13">
        <v>45871.0</v>
      </c>
      <c r="B98" s="14" t="s">
        <v>286</v>
      </c>
      <c r="C98" s="14" t="s">
        <v>265</v>
      </c>
      <c r="D98" s="14" t="s">
        <v>79</v>
      </c>
      <c r="E98" s="15" t="s">
        <v>260</v>
      </c>
      <c r="F98" s="15" t="s">
        <v>41</v>
      </c>
      <c r="G98" s="15" t="s">
        <v>18</v>
      </c>
      <c r="H98" s="15" t="s">
        <v>251</v>
      </c>
      <c r="I98" s="14" t="s">
        <v>82</v>
      </c>
      <c r="J98" s="16">
        <v>1391.0</v>
      </c>
      <c r="K98" s="16">
        <v>1391.0</v>
      </c>
      <c r="L98" s="16">
        <v>0.0</v>
      </c>
      <c r="M98" s="16">
        <v>1391.0</v>
      </c>
      <c r="N98" s="14" t="s">
        <v>83</v>
      </c>
      <c r="O98" s="15"/>
    </row>
    <row r="99" ht="15.0" customHeight="1">
      <c r="A99" s="13">
        <v>45872.0</v>
      </c>
      <c r="B99" s="14" t="s">
        <v>287</v>
      </c>
      <c r="C99" s="14" t="s">
        <v>265</v>
      </c>
      <c r="D99" s="14" t="s">
        <v>79</v>
      </c>
      <c r="E99" s="15" t="s">
        <v>209</v>
      </c>
      <c r="F99" s="15" t="s">
        <v>42</v>
      </c>
      <c r="G99" s="15" t="s">
        <v>18</v>
      </c>
      <c r="H99" s="15" t="s">
        <v>128</v>
      </c>
      <c r="I99" s="14" t="s">
        <v>82</v>
      </c>
      <c r="J99" s="16">
        <v>223.0</v>
      </c>
      <c r="K99" s="16">
        <v>223.0</v>
      </c>
      <c r="L99" s="16">
        <v>0.0</v>
      </c>
      <c r="M99" s="16">
        <v>223.0</v>
      </c>
      <c r="N99" s="14" t="s">
        <v>83</v>
      </c>
      <c r="O99" s="15"/>
    </row>
    <row r="100" ht="15.0" customHeight="1">
      <c r="A100" s="13">
        <v>45872.0</v>
      </c>
      <c r="B100" s="14" t="s">
        <v>288</v>
      </c>
      <c r="C100" s="14" t="s">
        <v>265</v>
      </c>
      <c r="D100" s="14" t="s">
        <v>79</v>
      </c>
      <c r="E100" s="15" t="s">
        <v>140</v>
      </c>
      <c r="F100" s="15" t="s">
        <v>42</v>
      </c>
      <c r="G100" s="15" t="s">
        <v>18</v>
      </c>
      <c r="H100" s="15" t="s">
        <v>128</v>
      </c>
      <c r="I100" s="14" t="s">
        <v>82</v>
      </c>
      <c r="J100" s="16">
        <v>5700.0</v>
      </c>
      <c r="K100" s="16">
        <v>5700.0</v>
      </c>
      <c r="L100" s="16">
        <v>0.0</v>
      </c>
      <c r="M100" s="16">
        <v>5700.0</v>
      </c>
      <c r="N100" s="14" t="s">
        <v>83</v>
      </c>
      <c r="O100" s="15"/>
    </row>
    <row r="101" ht="15.0" customHeight="1">
      <c r="A101" s="13">
        <v>45873.0</v>
      </c>
      <c r="B101" s="14" t="s">
        <v>289</v>
      </c>
      <c r="C101" s="14" t="s">
        <v>265</v>
      </c>
      <c r="D101" s="14" t="s">
        <v>79</v>
      </c>
      <c r="E101" s="15" t="s">
        <v>290</v>
      </c>
      <c r="F101" s="15" t="s">
        <v>101</v>
      </c>
      <c r="G101" s="15" t="s">
        <v>102</v>
      </c>
      <c r="H101" s="15" t="s">
        <v>101</v>
      </c>
      <c r="I101" s="14" t="s">
        <v>103</v>
      </c>
      <c r="J101" s="16">
        <v>-28926.0</v>
      </c>
      <c r="K101" s="16">
        <v>0.0</v>
      </c>
      <c r="L101" s="16">
        <v>0.0</v>
      </c>
      <c r="M101" s="16">
        <v>0.0</v>
      </c>
      <c r="N101" s="14" t="s">
        <v>83</v>
      </c>
      <c r="O101" s="15" t="s">
        <v>104</v>
      </c>
    </row>
    <row r="102" ht="15.0" customHeight="1">
      <c r="A102" s="13">
        <v>45874.0</v>
      </c>
      <c r="B102" s="14" t="s">
        <v>291</v>
      </c>
      <c r="C102" s="14" t="s">
        <v>265</v>
      </c>
      <c r="D102" s="14" t="s">
        <v>79</v>
      </c>
      <c r="E102" s="15" t="s">
        <v>292</v>
      </c>
      <c r="F102" s="15" t="s">
        <v>51</v>
      </c>
      <c r="G102" s="15" t="s">
        <v>30</v>
      </c>
      <c r="H102" s="15" t="s">
        <v>81</v>
      </c>
      <c r="I102" s="14" t="s">
        <v>82</v>
      </c>
      <c r="J102" s="16">
        <v>299.0</v>
      </c>
      <c r="K102" s="16">
        <v>299.0</v>
      </c>
      <c r="L102" s="16">
        <v>0.0</v>
      </c>
      <c r="M102" s="16">
        <v>299.0</v>
      </c>
      <c r="N102" s="14" t="s">
        <v>83</v>
      </c>
      <c r="O102" s="15"/>
    </row>
    <row r="103" ht="15.0" customHeight="1">
      <c r="A103" s="13">
        <v>45875.0</v>
      </c>
      <c r="B103" s="14" t="s">
        <v>293</v>
      </c>
      <c r="C103" s="14" t="s">
        <v>265</v>
      </c>
      <c r="D103" s="14" t="s">
        <v>79</v>
      </c>
      <c r="E103" s="15" t="s">
        <v>294</v>
      </c>
      <c r="F103" s="15" t="s">
        <v>55</v>
      </c>
      <c r="G103" s="15" t="s">
        <v>46</v>
      </c>
      <c r="H103" s="15" t="s">
        <v>178</v>
      </c>
      <c r="I103" s="14" t="s">
        <v>82</v>
      </c>
      <c r="J103" s="16">
        <v>4722.0</v>
      </c>
      <c r="K103" s="16">
        <v>4722.0</v>
      </c>
      <c r="L103" s="16">
        <v>0.0</v>
      </c>
      <c r="M103" s="16">
        <v>4722.0</v>
      </c>
      <c r="N103" s="14" t="s">
        <v>83</v>
      </c>
      <c r="O103" s="15"/>
    </row>
    <row r="104" ht="15.0" customHeight="1">
      <c r="A104" s="13">
        <v>45876.0</v>
      </c>
      <c r="B104" s="14" t="s">
        <v>295</v>
      </c>
      <c r="C104" s="14" t="s">
        <v>265</v>
      </c>
      <c r="D104" s="14" t="s">
        <v>79</v>
      </c>
      <c r="E104" s="15" t="s">
        <v>260</v>
      </c>
      <c r="F104" s="15" t="s">
        <v>41</v>
      </c>
      <c r="G104" s="15" t="s">
        <v>18</v>
      </c>
      <c r="H104" s="15" t="s">
        <v>251</v>
      </c>
      <c r="I104" s="14" t="s">
        <v>82</v>
      </c>
      <c r="J104" s="16">
        <v>398.0</v>
      </c>
      <c r="K104" s="16">
        <v>398.0</v>
      </c>
      <c r="L104" s="16">
        <v>0.0</v>
      </c>
      <c r="M104" s="16">
        <v>398.0</v>
      </c>
      <c r="N104" s="14" t="s">
        <v>83</v>
      </c>
      <c r="O104" s="15"/>
    </row>
    <row r="105" ht="15.0" customHeight="1">
      <c r="A105" s="13">
        <v>45878.0</v>
      </c>
      <c r="B105" s="14" t="s">
        <v>296</v>
      </c>
      <c r="C105" s="14" t="s">
        <v>265</v>
      </c>
      <c r="D105" s="14" t="s">
        <v>79</v>
      </c>
      <c r="E105" s="15" t="s">
        <v>260</v>
      </c>
      <c r="F105" s="15" t="s">
        <v>41</v>
      </c>
      <c r="G105" s="15" t="s">
        <v>18</v>
      </c>
      <c r="H105" s="15" t="s">
        <v>251</v>
      </c>
      <c r="I105" s="14" t="s">
        <v>82</v>
      </c>
      <c r="J105" s="16">
        <v>688.0</v>
      </c>
      <c r="K105" s="16">
        <v>688.0</v>
      </c>
      <c r="L105" s="16">
        <v>0.0</v>
      </c>
      <c r="M105" s="16">
        <v>688.0</v>
      </c>
      <c r="N105" s="14" t="s">
        <v>83</v>
      </c>
      <c r="O105" s="15"/>
    </row>
    <row r="106" ht="15.0" customHeight="1">
      <c r="A106" s="13">
        <v>45878.0</v>
      </c>
      <c r="B106" s="14" t="s">
        <v>297</v>
      </c>
      <c r="C106" s="14" t="s">
        <v>265</v>
      </c>
      <c r="D106" s="14" t="s">
        <v>79</v>
      </c>
      <c r="E106" s="15" t="s">
        <v>155</v>
      </c>
      <c r="F106" s="15" t="s">
        <v>39</v>
      </c>
      <c r="G106" s="15" t="s">
        <v>15</v>
      </c>
      <c r="H106" s="15" t="s">
        <v>156</v>
      </c>
      <c r="I106" s="14" t="s">
        <v>82</v>
      </c>
      <c r="J106" s="16">
        <v>890.0</v>
      </c>
      <c r="K106" s="16">
        <v>890.0</v>
      </c>
      <c r="L106" s="16">
        <v>0.0</v>
      </c>
      <c r="M106" s="16">
        <v>890.0</v>
      </c>
      <c r="N106" s="14" t="s">
        <v>83</v>
      </c>
      <c r="O106" s="15"/>
    </row>
    <row r="107" ht="15.0" customHeight="1">
      <c r="A107" s="13">
        <v>45879.0</v>
      </c>
      <c r="B107" s="14" t="s">
        <v>298</v>
      </c>
      <c r="C107" s="14" t="s">
        <v>265</v>
      </c>
      <c r="D107" s="14" t="s">
        <v>79</v>
      </c>
      <c r="E107" s="15" t="s">
        <v>250</v>
      </c>
      <c r="F107" s="15" t="s">
        <v>41</v>
      </c>
      <c r="G107" s="15" t="s">
        <v>18</v>
      </c>
      <c r="H107" s="15" t="s">
        <v>251</v>
      </c>
      <c r="I107" s="14" t="s">
        <v>82</v>
      </c>
      <c r="J107" s="16">
        <v>1365.0</v>
      </c>
      <c r="K107" s="16">
        <v>1365.0</v>
      </c>
      <c r="L107" s="16">
        <v>0.0</v>
      </c>
      <c r="M107" s="16">
        <v>1365.0</v>
      </c>
      <c r="N107" s="14" t="s">
        <v>83</v>
      </c>
      <c r="O107" s="15"/>
    </row>
    <row r="108" ht="15.0" customHeight="1">
      <c r="A108" s="13">
        <v>45880.0</v>
      </c>
      <c r="B108" s="14" t="s">
        <v>299</v>
      </c>
      <c r="C108" s="14" t="s">
        <v>265</v>
      </c>
      <c r="D108" s="14" t="s">
        <v>79</v>
      </c>
      <c r="E108" s="15" t="s">
        <v>300</v>
      </c>
      <c r="F108" s="15" t="s">
        <v>63</v>
      </c>
      <c r="G108" s="15" t="s">
        <v>9</v>
      </c>
      <c r="H108" s="15" t="s">
        <v>301</v>
      </c>
      <c r="I108" s="14" t="s">
        <v>82</v>
      </c>
      <c r="J108" s="16">
        <v>12692.0</v>
      </c>
      <c r="K108" s="16">
        <v>12692.0</v>
      </c>
      <c r="L108" s="16">
        <v>0.0</v>
      </c>
      <c r="M108" s="16">
        <v>12692.0</v>
      </c>
      <c r="N108" s="14" t="s">
        <v>83</v>
      </c>
      <c r="O108" s="15"/>
    </row>
    <row r="109" ht="15.0" customHeight="1">
      <c r="A109" s="13">
        <v>45884.0</v>
      </c>
      <c r="B109" s="14" t="s">
        <v>302</v>
      </c>
      <c r="C109" s="14" t="s">
        <v>265</v>
      </c>
      <c r="D109" s="14" t="s">
        <v>79</v>
      </c>
      <c r="E109" s="15" t="s">
        <v>303</v>
      </c>
      <c r="F109" s="15" t="s">
        <v>41</v>
      </c>
      <c r="G109" s="15" t="s">
        <v>18</v>
      </c>
      <c r="H109" s="15" t="s">
        <v>251</v>
      </c>
      <c r="I109" s="14" t="s">
        <v>82</v>
      </c>
      <c r="J109" s="16">
        <v>514.0</v>
      </c>
      <c r="K109" s="16">
        <v>514.0</v>
      </c>
      <c r="L109" s="16">
        <v>0.0</v>
      </c>
      <c r="M109" s="16">
        <v>514.0</v>
      </c>
      <c r="N109" s="14" t="s">
        <v>83</v>
      </c>
      <c r="O109" s="15"/>
    </row>
    <row r="110" ht="15.0" customHeight="1">
      <c r="A110" s="13">
        <v>45884.0</v>
      </c>
      <c r="B110" s="14" t="s">
        <v>304</v>
      </c>
      <c r="C110" s="14" t="s">
        <v>265</v>
      </c>
      <c r="D110" s="14" t="s">
        <v>79</v>
      </c>
      <c r="E110" s="15" t="s">
        <v>303</v>
      </c>
      <c r="F110" s="15" t="s">
        <v>41</v>
      </c>
      <c r="G110" s="15" t="s">
        <v>18</v>
      </c>
      <c r="H110" s="15" t="s">
        <v>251</v>
      </c>
      <c r="I110" s="14" t="s">
        <v>82</v>
      </c>
      <c r="J110" s="16">
        <v>759.0</v>
      </c>
      <c r="K110" s="16">
        <v>759.0</v>
      </c>
      <c r="L110" s="16">
        <v>0.0</v>
      </c>
      <c r="M110" s="16">
        <v>759.0</v>
      </c>
      <c r="N110" s="14" t="s">
        <v>83</v>
      </c>
      <c r="O110" s="15"/>
    </row>
    <row r="111" ht="15.0" customHeight="1">
      <c r="A111" s="13">
        <v>45884.0</v>
      </c>
      <c r="B111" s="14" t="s">
        <v>305</v>
      </c>
      <c r="C111" s="14" t="s">
        <v>265</v>
      </c>
      <c r="D111" s="14" t="s">
        <v>79</v>
      </c>
      <c r="E111" s="15" t="s">
        <v>117</v>
      </c>
      <c r="F111" s="15" t="s">
        <v>44</v>
      </c>
      <c r="G111" s="15" t="s">
        <v>29</v>
      </c>
      <c r="H111" s="15" t="s">
        <v>118</v>
      </c>
      <c r="I111" s="14" t="s">
        <v>82</v>
      </c>
      <c r="J111" s="16">
        <v>357.0</v>
      </c>
      <c r="K111" s="16">
        <v>357.0</v>
      </c>
      <c r="L111" s="16">
        <v>0.0</v>
      </c>
      <c r="M111" s="16">
        <v>357.0</v>
      </c>
      <c r="N111" s="14" t="s">
        <v>83</v>
      </c>
      <c r="O111" s="15"/>
    </row>
    <row r="112" ht="15.0" customHeight="1">
      <c r="A112" s="13">
        <v>45886.0</v>
      </c>
      <c r="B112" s="14" t="s">
        <v>306</v>
      </c>
      <c r="C112" s="14" t="s">
        <v>265</v>
      </c>
      <c r="D112" s="14" t="s">
        <v>79</v>
      </c>
      <c r="E112" s="15" t="s">
        <v>247</v>
      </c>
      <c r="F112" s="15" t="s">
        <v>45</v>
      </c>
      <c r="G112" s="15" t="s">
        <v>15</v>
      </c>
      <c r="H112" s="15" t="s">
        <v>248</v>
      </c>
      <c r="I112" s="14" t="s">
        <v>82</v>
      </c>
      <c r="J112" s="16">
        <v>3629.39</v>
      </c>
      <c r="K112" s="16">
        <v>3629.39</v>
      </c>
      <c r="L112" s="16">
        <v>0.0</v>
      </c>
      <c r="M112" s="16">
        <v>3629.39</v>
      </c>
      <c r="N112" s="14" t="s">
        <v>83</v>
      </c>
      <c r="O112" s="15"/>
    </row>
    <row r="113" ht="15.0" customHeight="1">
      <c r="A113" s="13">
        <v>45886.0</v>
      </c>
      <c r="B113" s="14" t="s">
        <v>307</v>
      </c>
      <c r="C113" s="14" t="s">
        <v>265</v>
      </c>
      <c r="D113" s="14" t="s">
        <v>79</v>
      </c>
      <c r="E113" s="15" t="s">
        <v>247</v>
      </c>
      <c r="F113" s="15" t="s">
        <v>45</v>
      </c>
      <c r="G113" s="15" t="s">
        <v>15</v>
      </c>
      <c r="H113" s="15" t="s">
        <v>248</v>
      </c>
      <c r="I113" s="14" t="s">
        <v>82</v>
      </c>
      <c r="J113" s="16">
        <v>3861.02</v>
      </c>
      <c r="K113" s="16">
        <v>3861.02</v>
      </c>
      <c r="L113" s="16">
        <v>0.0</v>
      </c>
      <c r="M113" s="16">
        <v>3861.02</v>
      </c>
      <c r="N113" s="14" t="s">
        <v>83</v>
      </c>
      <c r="O113" s="15"/>
    </row>
    <row r="114" ht="15.0" customHeight="1">
      <c r="A114" s="13">
        <v>45886.0</v>
      </c>
      <c r="B114" s="14" t="s">
        <v>308</v>
      </c>
      <c r="C114" s="14" t="s">
        <v>265</v>
      </c>
      <c r="D114" s="14" t="s">
        <v>79</v>
      </c>
      <c r="E114" s="15" t="s">
        <v>266</v>
      </c>
      <c r="F114" s="15" t="s">
        <v>44</v>
      </c>
      <c r="G114" s="15" t="s">
        <v>29</v>
      </c>
      <c r="H114" s="15" t="s">
        <v>118</v>
      </c>
      <c r="I114" s="14" t="s">
        <v>82</v>
      </c>
      <c r="J114" s="16">
        <v>607.29</v>
      </c>
      <c r="K114" s="16">
        <v>607.29</v>
      </c>
      <c r="L114" s="16">
        <v>0.0</v>
      </c>
      <c r="M114" s="16">
        <v>607.29</v>
      </c>
      <c r="N114" s="14" t="s">
        <v>83</v>
      </c>
      <c r="O114" s="15"/>
    </row>
    <row r="115" ht="15.0" customHeight="1">
      <c r="A115" s="13">
        <v>45891.0</v>
      </c>
      <c r="B115" s="14" t="s">
        <v>309</v>
      </c>
      <c r="C115" s="14" t="s">
        <v>265</v>
      </c>
      <c r="D115" s="14" t="s">
        <v>79</v>
      </c>
      <c r="E115" s="15" t="s">
        <v>173</v>
      </c>
      <c r="F115" s="15" t="s">
        <v>44</v>
      </c>
      <c r="G115" s="15" t="s">
        <v>29</v>
      </c>
      <c r="H115" s="15" t="s">
        <v>118</v>
      </c>
      <c r="I115" s="14" t="s">
        <v>82</v>
      </c>
      <c r="J115" s="16">
        <v>1952.0</v>
      </c>
      <c r="K115" s="16">
        <v>1952.0</v>
      </c>
      <c r="L115" s="16">
        <v>0.0</v>
      </c>
      <c r="M115" s="16">
        <v>1952.0</v>
      </c>
      <c r="N115" s="14" t="s">
        <v>83</v>
      </c>
      <c r="O115" s="15"/>
    </row>
    <row r="116" ht="15.0" customHeight="1">
      <c r="A116" s="13">
        <v>45891.0</v>
      </c>
      <c r="B116" s="14" t="s">
        <v>310</v>
      </c>
      <c r="C116" s="14" t="s">
        <v>265</v>
      </c>
      <c r="D116" s="14" t="s">
        <v>79</v>
      </c>
      <c r="E116" s="15" t="s">
        <v>155</v>
      </c>
      <c r="F116" s="15" t="s">
        <v>39</v>
      </c>
      <c r="G116" s="15" t="s">
        <v>15</v>
      </c>
      <c r="H116" s="15" t="s">
        <v>156</v>
      </c>
      <c r="I116" s="14" t="s">
        <v>82</v>
      </c>
      <c r="J116" s="16">
        <v>900.0</v>
      </c>
      <c r="K116" s="16">
        <v>900.0</v>
      </c>
      <c r="L116" s="16">
        <v>0.0</v>
      </c>
      <c r="M116" s="16">
        <v>900.0</v>
      </c>
      <c r="N116" s="14" t="s">
        <v>83</v>
      </c>
      <c r="O116" s="15"/>
    </row>
    <row r="117" ht="15.0" customHeight="1">
      <c r="A117" s="13">
        <v>45892.0</v>
      </c>
      <c r="B117" s="14" t="s">
        <v>311</v>
      </c>
      <c r="C117" s="14" t="s">
        <v>312</v>
      </c>
      <c r="D117" s="14" t="s">
        <v>79</v>
      </c>
      <c r="E117" s="15" t="s">
        <v>313</v>
      </c>
      <c r="F117" s="15" t="s">
        <v>42</v>
      </c>
      <c r="G117" s="15" t="s">
        <v>18</v>
      </c>
      <c r="H117" s="15" t="s">
        <v>128</v>
      </c>
      <c r="I117" s="14" t="s">
        <v>82</v>
      </c>
      <c r="J117" s="16">
        <v>788.98</v>
      </c>
      <c r="K117" s="16">
        <v>788.98</v>
      </c>
      <c r="L117" s="16">
        <v>0.0</v>
      </c>
      <c r="M117" s="16">
        <v>788.98</v>
      </c>
      <c r="N117" s="14" t="s">
        <v>83</v>
      </c>
      <c r="O117" s="15"/>
    </row>
    <row r="118" ht="15.0" customHeight="1">
      <c r="A118" s="13">
        <v>45892.0</v>
      </c>
      <c r="B118" s="14" t="s">
        <v>314</v>
      </c>
      <c r="C118" s="14" t="s">
        <v>312</v>
      </c>
      <c r="D118" s="14" t="s">
        <v>79</v>
      </c>
      <c r="E118" s="15" t="s">
        <v>155</v>
      </c>
      <c r="F118" s="15" t="s">
        <v>39</v>
      </c>
      <c r="G118" s="15" t="s">
        <v>15</v>
      </c>
      <c r="H118" s="15" t="s">
        <v>156</v>
      </c>
      <c r="I118" s="14" t="s">
        <v>82</v>
      </c>
      <c r="J118" s="16">
        <v>1070.0</v>
      </c>
      <c r="K118" s="16">
        <v>1070.0</v>
      </c>
      <c r="L118" s="16">
        <v>0.0</v>
      </c>
      <c r="M118" s="16">
        <v>1070.0</v>
      </c>
      <c r="N118" s="14" t="s">
        <v>83</v>
      </c>
      <c r="O118" s="15"/>
    </row>
    <row r="119" ht="15.0" customHeight="1">
      <c r="A119" s="13">
        <v>45893.0</v>
      </c>
      <c r="B119" s="14" t="s">
        <v>315</v>
      </c>
      <c r="C119" s="14" t="s">
        <v>312</v>
      </c>
      <c r="D119" s="14" t="s">
        <v>79</v>
      </c>
      <c r="E119" s="15" t="s">
        <v>303</v>
      </c>
      <c r="F119" s="15" t="s">
        <v>41</v>
      </c>
      <c r="G119" s="15" t="s">
        <v>18</v>
      </c>
      <c r="H119" s="15" t="s">
        <v>251</v>
      </c>
      <c r="I119" s="14" t="s">
        <v>82</v>
      </c>
      <c r="J119" s="16">
        <v>1455.0</v>
      </c>
      <c r="K119" s="16">
        <v>1455.0</v>
      </c>
      <c r="L119" s="16">
        <v>0.0</v>
      </c>
      <c r="M119" s="16">
        <v>1455.0</v>
      </c>
      <c r="N119" s="14" t="s">
        <v>83</v>
      </c>
      <c r="O119" s="15"/>
    </row>
    <row r="120" ht="15.0" customHeight="1">
      <c r="A120" s="13">
        <v>45896.0</v>
      </c>
      <c r="B120" s="14" t="s">
        <v>316</v>
      </c>
      <c r="C120" s="14" t="s">
        <v>312</v>
      </c>
      <c r="D120" s="14" t="s">
        <v>79</v>
      </c>
      <c r="E120" s="15" t="s">
        <v>317</v>
      </c>
      <c r="F120" s="15" t="s">
        <v>41</v>
      </c>
      <c r="G120" s="15" t="s">
        <v>18</v>
      </c>
      <c r="H120" s="15" t="s">
        <v>251</v>
      </c>
      <c r="I120" s="14" t="s">
        <v>82</v>
      </c>
      <c r="J120" s="16">
        <v>3441.0</v>
      </c>
      <c r="K120" s="16">
        <v>3441.0</v>
      </c>
      <c r="L120" s="16">
        <v>0.0</v>
      </c>
      <c r="M120" s="16">
        <v>3441.0</v>
      </c>
      <c r="N120" s="14" t="s">
        <v>83</v>
      </c>
      <c r="O120" s="15"/>
    </row>
    <row r="121" ht="15.0" customHeight="1">
      <c r="A121" s="13">
        <v>45896.0</v>
      </c>
      <c r="B121" s="14" t="s">
        <v>318</v>
      </c>
      <c r="C121" s="14" t="s">
        <v>312</v>
      </c>
      <c r="D121" s="14" t="s">
        <v>79</v>
      </c>
      <c r="E121" s="15" t="s">
        <v>206</v>
      </c>
      <c r="F121" s="15" t="s">
        <v>44</v>
      </c>
      <c r="G121" s="15" t="s">
        <v>29</v>
      </c>
      <c r="H121" s="15" t="s">
        <v>118</v>
      </c>
      <c r="I121" s="14" t="s">
        <v>82</v>
      </c>
      <c r="J121" s="16">
        <v>2010.0</v>
      </c>
      <c r="K121" s="16">
        <v>2010.0</v>
      </c>
      <c r="L121" s="16">
        <v>0.0</v>
      </c>
      <c r="M121" s="16">
        <v>2010.0</v>
      </c>
      <c r="N121" s="14" t="s">
        <v>83</v>
      </c>
      <c r="O121" s="15"/>
    </row>
    <row r="122" ht="15.0" customHeight="1">
      <c r="A122" s="13">
        <v>45901.0</v>
      </c>
      <c r="B122" s="14" t="s">
        <v>319</v>
      </c>
      <c r="C122" s="14" t="s">
        <v>312</v>
      </c>
      <c r="D122" s="14" t="s">
        <v>79</v>
      </c>
      <c r="E122" s="15" t="s">
        <v>285</v>
      </c>
      <c r="F122" s="15" t="s">
        <v>51</v>
      </c>
      <c r="G122" s="15" t="s">
        <v>30</v>
      </c>
      <c r="H122" s="15" t="s">
        <v>81</v>
      </c>
      <c r="I122" s="14" t="s">
        <v>82</v>
      </c>
      <c r="J122" s="16">
        <v>649.0</v>
      </c>
      <c r="K122" s="16">
        <v>649.0</v>
      </c>
      <c r="L122" s="16">
        <v>0.0</v>
      </c>
      <c r="M122" s="16">
        <v>649.0</v>
      </c>
      <c r="N122" s="14" t="s">
        <v>83</v>
      </c>
      <c r="O122" s="15"/>
    </row>
    <row r="123" ht="15.0" customHeight="1">
      <c r="A123" s="13">
        <v>45903.0</v>
      </c>
      <c r="B123" s="14"/>
      <c r="C123" s="14" t="s">
        <v>312</v>
      </c>
      <c r="D123" s="14" t="s">
        <v>79</v>
      </c>
      <c r="E123" s="15" t="s">
        <v>294</v>
      </c>
      <c r="F123" s="15" t="s">
        <v>55</v>
      </c>
      <c r="G123" s="15" t="s">
        <v>46</v>
      </c>
      <c r="H123" s="15" t="s">
        <v>178</v>
      </c>
      <c r="I123" s="14" t="s">
        <v>175</v>
      </c>
      <c r="J123" s="16">
        <v>-4722.0</v>
      </c>
      <c r="K123" s="16">
        <v>0.0</v>
      </c>
      <c r="L123" s="16">
        <v>4722.0</v>
      </c>
      <c r="M123" s="16">
        <v>-4722.0</v>
      </c>
      <c r="N123" s="14" t="s">
        <v>83</v>
      </c>
      <c r="O123" s="15"/>
    </row>
    <row r="124" ht="15.0" customHeight="1">
      <c r="A124" s="13">
        <v>45904.0</v>
      </c>
      <c r="B124" s="14" t="s">
        <v>320</v>
      </c>
      <c r="C124" s="14" t="s">
        <v>312</v>
      </c>
      <c r="D124" s="14" t="s">
        <v>79</v>
      </c>
      <c r="E124" s="15" t="s">
        <v>321</v>
      </c>
      <c r="F124" s="15" t="s">
        <v>101</v>
      </c>
      <c r="G124" s="15" t="s">
        <v>102</v>
      </c>
      <c r="H124" s="15" t="s">
        <v>101</v>
      </c>
      <c r="I124" s="14" t="s">
        <v>103</v>
      </c>
      <c r="J124" s="16">
        <v>-66267.0</v>
      </c>
      <c r="K124" s="16">
        <v>0.0</v>
      </c>
      <c r="L124" s="16">
        <v>0.0</v>
      </c>
      <c r="M124" s="16">
        <v>0.0</v>
      </c>
      <c r="N124" s="14" t="s">
        <v>83</v>
      </c>
      <c r="O124" s="15" t="s">
        <v>104</v>
      </c>
    </row>
    <row r="125" ht="15.0" customHeight="1">
      <c r="A125" s="13">
        <v>45905.0</v>
      </c>
      <c r="B125" s="14"/>
      <c r="C125" s="14" t="s">
        <v>312</v>
      </c>
      <c r="D125" s="14" t="s">
        <v>79</v>
      </c>
      <c r="E125" s="15" t="s">
        <v>322</v>
      </c>
      <c r="F125" s="15" t="s">
        <v>121</v>
      </c>
      <c r="G125" s="15" t="s">
        <v>62</v>
      </c>
      <c r="H125" s="15" t="s">
        <v>122</v>
      </c>
      <c r="I125" s="14" t="s">
        <v>175</v>
      </c>
      <c r="J125" s="16">
        <v>-284.0</v>
      </c>
      <c r="K125" s="16">
        <v>0.0</v>
      </c>
      <c r="L125" s="16">
        <v>284.0</v>
      </c>
      <c r="M125" s="16">
        <v>-284.0</v>
      </c>
      <c r="N125" s="14" t="s">
        <v>97</v>
      </c>
      <c r="O125" s="15" t="s">
        <v>123</v>
      </c>
    </row>
    <row r="126" ht="15.0" customHeight="1">
      <c r="A126" s="13">
        <v>45905.0</v>
      </c>
      <c r="B126" s="14" t="s">
        <v>143</v>
      </c>
      <c r="C126" s="14" t="s">
        <v>312</v>
      </c>
      <c r="D126" s="14" t="s">
        <v>79</v>
      </c>
      <c r="E126" s="15" t="s">
        <v>292</v>
      </c>
      <c r="F126" s="15" t="s">
        <v>51</v>
      </c>
      <c r="G126" s="15" t="s">
        <v>30</v>
      </c>
      <c r="H126" s="15" t="s">
        <v>81</v>
      </c>
      <c r="I126" s="14" t="s">
        <v>82</v>
      </c>
      <c r="J126" s="16">
        <v>299.0</v>
      </c>
      <c r="K126" s="16">
        <v>299.0</v>
      </c>
      <c r="L126" s="16">
        <v>0.0</v>
      </c>
      <c r="M126" s="16">
        <v>299.0</v>
      </c>
      <c r="N126" s="14" t="s">
        <v>83</v>
      </c>
      <c r="O126" s="15"/>
    </row>
    <row r="127" ht="15.0" customHeight="1">
      <c r="A127" s="13">
        <v>45905.0</v>
      </c>
      <c r="B127" s="14" t="s">
        <v>323</v>
      </c>
      <c r="C127" s="14" t="s">
        <v>312</v>
      </c>
      <c r="D127" s="14" t="s">
        <v>79</v>
      </c>
      <c r="E127" s="15" t="s">
        <v>322</v>
      </c>
      <c r="F127" s="15" t="s">
        <v>121</v>
      </c>
      <c r="G127" s="15" t="s">
        <v>62</v>
      </c>
      <c r="H127" s="15" t="s">
        <v>122</v>
      </c>
      <c r="I127" s="14" t="s">
        <v>82</v>
      </c>
      <c r="J127" s="16">
        <v>284.0</v>
      </c>
      <c r="K127" s="16">
        <v>284.0</v>
      </c>
      <c r="L127" s="16">
        <v>0.0</v>
      </c>
      <c r="M127" s="16">
        <v>284.0</v>
      </c>
      <c r="N127" s="14" t="s">
        <v>97</v>
      </c>
      <c r="O127" s="15" t="s">
        <v>123</v>
      </c>
    </row>
    <row r="128" ht="15.0" customHeight="1">
      <c r="A128" s="13">
        <v>45906.0</v>
      </c>
      <c r="B128" s="14" t="s">
        <v>324</v>
      </c>
      <c r="C128" s="14" t="s">
        <v>312</v>
      </c>
      <c r="D128" s="14" t="s">
        <v>79</v>
      </c>
      <c r="E128" s="15" t="s">
        <v>325</v>
      </c>
      <c r="F128" s="15" t="s">
        <v>45</v>
      </c>
      <c r="G128" s="15" t="s">
        <v>15</v>
      </c>
      <c r="H128" s="15" t="s">
        <v>248</v>
      </c>
      <c r="I128" s="14" t="s">
        <v>82</v>
      </c>
      <c r="J128" s="16">
        <v>785.0</v>
      </c>
      <c r="K128" s="16">
        <v>785.0</v>
      </c>
      <c r="L128" s="16">
        <v>0.0</v>
      </c>
      <c r="M128" s="16">
        <v>785.0</v>
      </c>
      <c r="N128" s="14" t="s">
        <v>83</v>
      </c>
      <c r="O128" s="15"/>
    </row>
    <row r="129" ht="15.0" customHeight="1">
      <c r="A129" s="13">
        <v>45906.0</v>
      </c>
      <c r="B129" s="14" t="s">
        <v>326</v>
      </c>
      <c r="C129" s="14" t="s">
        <v>312</v>
      </c>
      <c r="D129" s="14" t="s">
        <v>79</v>
      </c>
      <c r="E129" s="15" t="s">
        <v>327</v>
      </c>
      <c r="F129" s="15" t="s">
        <v>55</v>
      </c>
      <c r="G129" s="15" t="s">
        <v>46</v>
      </c>
      <c r="H129" s="15" t="s">
        <v>178</v>
      </c>
      <c r="I129" s="14" t="s">
        <v>82</v>
      </c>
      <c r="J129" s="16">
        <v>4000.0</v>
      </c>
      <c r="K129" s="16">
        <v>4000.0</v>
      </c>
      <c r="L129" s="16">
        <v>0.0</v>
      </c>
      <c r="M129" s="16">
        <v>4000.0</v>
      </c>
      <c r="N129" s="14" t="s">
        <v>83</v>
      </c>
      <c r="O129" s="15"/>
    </row>
    <row r="130" ht="15.0" customHeight="1">
      <c r="A130" s="13">
        <v>45908.0</v>
      </c>
      <c r="B130" s="14" t="s">
        <v>328</v>
      </c>
      <c r="C130" s="14" t="s">
        <v>312</v>
      </c>
      <c r="D130" s="14" t="s">
        <v>79</v>
      </c>
      <c r="E130" s="15" t="s">
        <v>329</v>
      </c>
      <c r="F130" s="15" t="s">
        <v>51</v>
      </c>
      <c r="G130" s="15" t="s">
        <v>30</v>
      </c>
      <c r="H130" s="15" t="s">
        <v>81</v>
      </c>
      <c r="I130" s="14" t="s">
        <v>82</v>
      </c>
      <c r="J130" s="16">
        <v>1749.0</v>
      </c>
      <c r="K130" s="16">
        <v>1749.0</v>
      </c>
      <c r="L130" s="16">
        <v>0.0</v>
      </c>
      <c r="M130" s="16">
        <v>1749.0</v>
      </c>
      <c r="N130" s="14" t="s">
        <v>83</v>
      </c>
      <c r="O130" s="15"/>
    </row>
    <row r="131" ht="15.0" customHeight="1">
      <c r="A131" s="13">
        <v>45908.0</v>
      </c>
      <c r="B131" s="14" t="s">
        <v>330</v>
      </c>
      <c r="C131" s="14" t="s">
        <v>312</v>
      </c>
      <c r="D131" s="14" t="s">
        <v>79</v>
      </c>
      <c r="E131" s="15" t="s">
        <v>117</v>
      </c>
      <c r="F131" s="15" t="s">
        <v>44</v>
      </c>
      <c r="G131" s="15" t="s">
        <v>29</v>
      </c>
      <c r="H131" s="15" t="s">
        <v>118</v>
      </c>
      <c r="I131" s="14" t="s">
        <v>82</v>
      </c>
      <c r="J131" s="16">
        <v>230.0</v>
      </c>
      <c r="K131" s="16">
        <v>230.0</v>
      </c>
      <c r="L131" s="16">
        <v>0.0</v>
      </c>
      <c r="M131" s="16">
        <v>230.0</v>
      </c>
      <c r="N131" s="14" t="s">
        <v>83</v>
      </c>
      <c r="O131" s="15"/>
    </row>
    <row r="132" ht="15.0" customHeight="1">
      <c r="A132" s="13">
        <v>45909.0</v>
      </c>
      <c r="B132" s="14" t="s">
        <v>331</v>
      </c>
      <c r="C132" s="14" t="s">
        <v>312</v>
      </c>
      <c r="D132" s="14" t="s">
        <v>79</v>
      </c>
      <c r="E132" s="15" t="s">
        <v>332</v>
      </c>
      <c r="F132" s="15" t="s">
        <v>41</v>
      </c>
      <c r="G132" s="15" t="s">
        <v>18</v>
      </c>
      <c r="H132" s="15" t="s">
        <v>251</v>
      </c>
      <c r="I132" s="14" t="s">
        <v>82</v>
      </c>
      <c r="J132" s="16">
        <v>4085.0</v>
      </c>
      <c r="K132" s="16">
        <v>4085.0</v>
      </c>
      <c r="L132" s="16">
        <v>0.0</v>
      </c>
      <c r="M132" s="16">
        <v>4085.0</v>
      </c>
      <c r="N132" s="14" t="s">
        <v>83</v>
      </c>
      <c r="O132" s="15"/>
    </row>
    <row r="133" ht="15.0" customHeight="1">
      <c r="A133" s="13">
        <v>45909.0</v>
      </c>
      <c r="B133" s="14" t="s">
        <v>333</v>
      </c>
      <c r="C133" s="14" t="s">
        <v>312</v>
      </c>
      <c r="D133" s="14" t="s">
        <v>79</v>
      </c>
      <c r="E133" s="15" t="s">
        <v>155</v>
      </c>
      <c r="F133" s="15" t="s">
        <v>39</v>
      </c>
      <c r="G133" s="15" t="s">
        <v>15</v>
      </c>
      <c r="H133" s="15" t="s">
        <v>156</v>
      </c>
      <c r="I133" s="14" t="s">
        <v>82</v>
      </c>
      <c r="J133" s="16">
        <v>900.0</v>
      </c>
      <c r="K133" s="16">
        <v>900.0</v>
      </c>
      <c r="L133" s="16">
        <v>0.0</v>
      </c>
      <c r="M133" s="16">
        <v>900.0</v>
      </c>
      <c r="N133" s="14" t="s">
        <v>83</v>
      </c>
      <c r="O133" s="15"/>
    </row>
    <row r="134" ht="15.0" customHeight="1">
      <c r="A134" s="13">
        <v>45909.0</v>
      </c>
      <c r="B134" s="14" t="s">
        <v>334</v>
      </c>
      <c r="C134" s="14" t="s">
        <v>312</v>
      </c>
      <c r="D134" s="14" t="s">
        <v>79</v>
      </c>
      <c r="E134" s="15" t="s">
        <v>155</v>
      </c>
      <c r="F134" s="15" t="s">
        <v>39</v>
      </c>
      <c r="G134" s="15" t="s">
        <v>15</v>
      </c>
      <c r="H134" s="15" t="s">
        <v>156</v>
      </c>
      <c r="I134" s="14" t="s">
        <v>82</v>
      </c>
      <c r="J134" s="16">
        <v>3320.0</v>
      </c>
      <c r="K134" s="16">
        <v>3320.0</v>
      </c>
      <c r="L134" s="16">
        <v>0.0</v>
      </c>
      <c r="M134" s="16">
        <v>3320.0</v>
      </c>
      <c r="N134" s="14" t="s">
        <v>83</v>
      </c>
      <c r="O134" s="15"/>
    </row>
    <row r="135" ht="15.0" customHeight="1">
      <c r="A135" s="13">
        <v>45909.0</v>
      </c>
      <c r="B135" s="14" t="s">
        <v>335</v>
      </c>
      <c r="C135" s="14" t="s">
        <v>312</v>
      </c>
      <c r="D135" s="14" t="s">
        <v>79</v>
      </c>
      <c r="E135" s="15" t="s">
        <v>155</v>
      </c>
      <c r="F135" s="15" t="s">
        <v>39</v>
      </c>
      <c r="G135" s="15" t="s">
        <v>15</v>
      </c>
      <c r="H135" s="15" t="s">
        <v>156</v>
      </c>
      <c r="I135" s="14" t="s">
        <v>82</v>
      </c>
      <c r="J135" s="16">
        <v>890.0</v>
      </c>
      <c r="K135" s="16">
        <v>890.0</v>
      </c>
      <c r="L135" s="16">
        <v>0.0</v>
      </c>
      <c r="M135" s="16">
        <v>890.0</v>
      </c>
      <c r="N135" s="14" t="s">
        <v>83</v>
      </c>
      <c r="O135" s="15"/>
    </row>
    <row r="136" ht="15.0" customHeight="1">
      <c r="A136" s="13">
        <v>45909.0</v>
      </c>
      <c r="B136" s="14" t="s">
        <v>336</v>
      </c>
      <c r="C136" s="14" t="s">
        <v>312</v>
      </c>
      <c r="D136" s="14" t="s">
        <v>79</v>
      </c>
      <c r="E136" s="15" t="s">
        <v>313</v>
      </c>
      <c r="F136" s="15" t="s">
        <v>42</v>
      </c>
      <c r="G136" s="15" t="s">
        <v>18</v>
      </c>
      <c r="H136" s="15" t="s">
        <v>128</v>
      </c>
      <c r="I136" s="14" t="s">
        <v>82</v>
      </c>
      <c r="J136" s="16">
        <v>463.99</v>
      </c>
      <c r="K136" s="16">
        <v>463.99</v>
      </c>
      <c r="L136" s="16">
        <v>0.0</v>
      </c>
      <c r="M136" s="16">
        <v>463.99</v>
      </c>
      <c r="N136" s="14" t="s">
        <v>83</v>
      </c>
      <c r="O136" s="15"/>
    </row>
    <row r="137" ht="15.0" customHeight="1">
      <c r="A137" s="13">
        <v>45909.0</v>
      </c>
      <c r="B137" s="14" t="s">
        <v>337</v>
      </c>
      <c r="C137" s="14" t="s">
        <v>312</v>
      </c>
      <c r="D137" s="14" t="s">
        <v>79</v>
      </c>
      <c r="E137" s="15" t="s">
        <v>313</v>
      </c>
      <c r="F137" s="15" t="s">
        <v>42</v>
      </c>
      <c r="G137" s="15" t="s">
        <v>18</v>
      </c>
      <c r="H137" s="15" t="s">
        <v>128</v>
      </c>
      <c r="I137" s="14" t="s">
        <v>82</v>
      </c>
      <c r="J137" s="16">
        <v>917.98</v>
      </c>
      <c r="K137" s="16">
        <v>917.98</v>
      </c>
      <c r="L137" s="16">
        <v>0.0</v>
      </c>
      <c r="M137" s="16">
        <v>917.98</v>
      </c>
      <c r="N137" s="14" t="s">
        <v>83</v>
      </c>
      <c r="O137" s="15"/>
    </row>
    <row r="138" ht="15.0" customHeight="1">
      <c r="A138" s="13">
        <v>45909.0</v>
      </c>
      <c r="B138" s="14" t="s">
        <v>338</v>
      </c>
      <c r="C138" s="14" t="s">
        <v>312</v>
      </c>
      <c r="D138" s="14" t="s">
        <v>79</v>
      </c>
      <c r="E138" s="15" t="s">
        <v>214</v>
      </c>
      <c r="F138" s="15" t="s">
        <v>40</v>
      </c>
      <c r="G138" s="15" t="s">
        <v>21</v>
      </c>
      <c r="H138" s="15" t="s">
        <v>150</v>
      </c>
      <c r="I138" s="14" t="s">
        <v>82</v>
      </c>
      <c r="J138" s="16">
        <v>1568.0</v>
      </c>
      <c r="K138" s="16">
        <v>1568.0</v>
      </c>
      <c r="L138" s="16">
        <v>0.0</v>
      </c>
      <c r="M138" s="16">
        <v>1568.0</v>
      </c>
      <c r="N138" s="14" t="s">
        <v>83</v>
      </c>
      <c r="O138" s="15"/>
    </row>
    <row r="139" ht="15.0" customHeight="1">
      <c r="A139" s="13">
        <v>45910.0</v>
      </c>
      <c r="B139" s="14" t="s">
        <v>339</v>
      </c>
      <c r="C139" s="14" t="s">
        <v>312</v>
      </c>
      <c r="D139" s="14" t="s">
        <v>79</v>
      </c>
      <c r="E139" s="15" t="s">
        <v>303</v>
      </c>
      <c r="F139" s="15" t="s">
        <v>41</v>
      </c>
      <c r="G139" s="15" t="s">
        <v>18</v>
      </c>
      <c r="H139" s="15" t="s">
        <v>251</v>
      </c>
      <c r="I139" s="14" t="s">
        <v>82</v>
      </c>
      <c r="J139" s="16">
        <v>855.0</v>
      </c>
      <c r="K139" s="16">
        <v>855.0</v>
      </c>
      <c r="L139" s="16">
        <v>0.0</v>
      </c>
      <c r="M139" s="16">
        <v>855.0</v>
      </c>
      <c r="N139" s="14" t="s">
        <v>83</v>
      </c>
      <c r="O139" s="15"/>
    </row>
    <row r="140" ht="15.0" customHeight="1">
      <c r="A140" s="13">
        <v>45910.0</v>
      </c>
      <c r="B140" s="14"/>
      <c r="C140" s="14" t="s">
        <v>312</v>
      </c>
      <c r="D140" s="14" t="s">
        <v>79</v>
      </c>
      <c r="E140" s="15" t="s">
        <v>340</v>
      </c>
      <c r="F140" s="15" t="s">
        <v>198</v>
      </c>
      <c r="G140" s="15" t="s">
        <v>64</v>
      </c>
      <c r="H140" s="15" t="s">
        <v>199</v>
      </c>
      <c r="I140" s="14" t="s">
        <v>82</v>
      </c>
      <c r="J140" s="16">
        <v>3.15</v>
      </c>
      <c r="K140" s="16">
        <v>3.15</v>
      </c>
      <c r="L140" s="16">
        <v>0.0</v>
      </c>
      <c r="M140" s="16">
        <v>3.15</v>
      </c>
      <c r="N140" s="14" t="s">
        <v>83</v>
      </c>
      <c r="O140" s="15"/>
    </row>
    <row r="141" ht="15.0" customHeight="1">
      <c r="A141" s="13">
        <v>45910.0</v>
      </c>
      <c r="B141" s="14"/>
      <c r="C141" s="14" t="s">
        <v>312</v>
      </c>
      <c r="D141" s="14" t="s">
        <v>79</v>
      </c>
      <c r="E141" s="15" t="s">
        <v>341</v>
      </c>
      <c r="F141" s="15" t="s">
        <v>198</v>
      </c>
      <c r="G141" s="15" t="s">
        <v>64</v>
      </c>
      <c r="H141" s="15" t="s">
        <v>199</v>
      </c>
      <c r="I141" s="14" t="s">
        <v>82</v>
      </c>
      <c r="J141" s="16">
        <v>17.49</v>
      </c>
      <c r="K141" s="16">
        <v>17.49</v>
      </c>
      <c r="L141" s="16">
        <v>0.0</v>
      </c>
      <c r="M141" s="16">
        <v>17.49</v>
      </c>
      <c r="N141" s="14" t="s">
        <v>83</v>
      </c>
      <c r="O141" s="15"/>
    </row>
    <row r="142" ht="15.0" customHeight="1">
      <c r="A142" s="13">
        <v>45911.0</v>
      </c>
      <c r="B142" s="14" t="s">
        <v>342</v>
      </c>
      <c r="C142" s="14" t="s">
        <v>312</v>
      </c>
      <c r="D142" s="14" t="s">
        <v>79</v>
      </c>
      <c r="E142" s="15" t="s">
        <v>242</v>
      </c>
      <c r="F142" s="15" t="s">
        <v>242</v>
      </c>
      <c r="G142" s="15" t="s">
        <v>50</v>
      </c>
      <c r="H142" s="15" t="s">
        <v>113</v>
      </c>
      <c r="I142" s="14" t="s">
        <v>82</v>
      </c>
      <c r="J142" s="16">
        <v>1110.82</v>
      </c>
      <c r="K142" s="16">
        <v>1110.82</v>
      </c>
      <c r="L142" s="16">
        <v>0.0</v>
      </c>
      <c r="M142" s="16">
        <v>1110.82</v>
      </c>
      <c r="N142" s="14" t="s">
        <v>114</v>
      </c>
      <c r="O142" s="15" t="s">
        <v>212</v>
      </c>
    </row>
    <row r="143" ht="15.0" customHeight="1">
      <c r="A143" s="13">
        <v>45911.0</v>
      </c>
      <c r="B143" s="14" t="s">
        <v>343</v>
      </c>
      <c r="C143" s="14" t="s">
        <v>312</v>
      </c>
      <c r="D143" s="14" t="s">
        <v>79</v>
      </c>
      <c r="E143" s="15" t="s">
        <v>171</v>
      </c>
      <c r="F143" s="15" t="s">
        <v>40</v>
      </c>
      <c r="G143" s="15" t="s">
        <v>21</v>
      </c>
      <c r="H143" s="15" t="s">
        <v>150</v>
      </c>
      <c r="I143" s="14" t="s">
        <v>82</v>
      </c>
      <c r="J143" s="16">
        <v>2254.0</v>
      </c>
      <c r="K143" s="16">
        <v>2254.0</v>
      </c>
      <c r="L143" s="16">
        <v>0.0</v>
      </c>
      <c r="M143" s="16">
        <v>2254.0</v>
      </c>
      <c r="N143" s="14" t="s">
        <v>83</v>
      </c>
      <c r="O143" s="15"/>
    </row>
    <row r="144" ht="15.0" customHeight="1">
      <c r="A144" s="13">
        <v>45912.0</v>
      </c>
      <c r="B144" s="14" t="s">
        <v>344</v>
      </c>
      <c r="C144" s="14" t="s">
        <v>312</v>
      </c>
      <c r="D144" s="14" t="s">
        <v>79</v>
      </c>
      <c r="E144" s="15" t="s">
        <v>345</v>
      </c>
      <c r="F144" s="15" t="s">
        <v>346</v>
      </c>
      <c r="G144" s="15" t="s">
        <v>30</v>
      </c>
      <c r="H144" s="15" t="s">
        <v>347</v>
      </c>
      <c r="I144" s="14" t="s">
        <v>82</v>
      </c>
      <c r="J144" s="16">
        <v>626.7</v>
      </c>
      <c r="K144" s="16">
        <v>626.7</v>
      </c>
      <c r="L144" s="16">
        <v>0.0</v>
      </c>
      <c r="M144" s="16">
        <v>626.7</v>
      </c>
      <c r="N144" s="14" t="s">
        <v>83</v>
      </c>
      <c r="O144" s="15"/>
    </row>
    <row r="145" ht="15.0" customHeight="1">
      <c r="A145" s="13">
        <v>45913.0</v>
      </c>
      <c r="B145" s="14" t="s">
        <v>348</v>
      </c>
      <c r="C145" s="14" t="s">
        <v>312</v>
      </c>
      <c r="D145" s="14" t="s">
        <v>79</v>
      </c>
      <c r="E145" s="15" t="s">
        <v>349</v>
      </c>
      <c r="F145" s="15" t="s">
        <v>42</v>
      </c>
      <c r="G145" s="15" t="s">
        <v>18</v>
      </c>
      <c r="H145" s="15" t="s">
        <v>128</v>
      </c>
      <c r="I145" s="14" t="s">
        <v>82</v>
      </c>
      <c r="J145" s="16">
        <v>1028.0</v>
      </c>
      <c r="K145" s="16">
        <v>1028.0</v>
      </c>
      <c r="L145" s="16">
        <v>0.0</v>
      </c>
      <c r="M145" s="16">
        <v>1028.0</v>
      </c>
      <c r="N145" s="14" t="s">
        <v>83</v>
      </c>
      <c r="O145" s="15"/>
    </row>
    <row r="146" ht="15.0" customHeight="1">
      <c r="A146" s="13">
        <v>45913.0</v>
      </c>
      <c r="B146" s="14" t="s">
        <v>350</v>
      </c>
      <c r="C146" s="14" t="s">
        <v>312</v>
      </c>
      <c r="D146" s="14" t="s">
        <v>79</v>
      </c>
      <c r="E146" s="15" t="s">
        <v>351</v>
      </c>
      <c r="F146" s="15" t="s">
        <v>55</v>
      </c>
      <c r="G146" s="15" t="s">
        <v>46</v>
      </c>
      <c r="H146" s="15" t="s">
        <v>178</v>
      </c>
      <c r="I146" s="14" t="s">
        <v>82</v>
      </c>
      <c r="J146" s="16">
        <v>10487.0</v>
      </c>
      <c r="K146" s="16">
        <v>10487.0</v>
      </c>
      <c r="L146" s="16">
        <v>0.0</v>
      </c>
      <c r="M146" s="16">
        <v>10487.0</v>
      </c>
      <c r="N146" s="14" t="s">
        <v>83</v>
      </c>
      <c r="O146" s="15"/>
    </row>
    <row r="147" ht="15.0" customHeight="1">
      <c r="A147" s="13">
        <v>45914.0</v>
      </c>
      <c r="B147" s="14" t="s">
        <v>352</v>
      </c>
      <c r="C147" s="14" t="s">
        <v>312</v>
      </c>
      <c r="D147" s="14" t="s">
        <v>79</v>
      </c>
      <c r="E147" s="15" t="s">
        <v>303</v>
      </c>
      <c r="F147" s="15" t="s">
        <v>41</v>
      </c>
      <c r="G147" s="15" t="s">
        <v>18</v>
      </c>
      <c r="H147" s="15" t="s">
        <v>251</v>
      </c>
      <c r="I147" s="14" t="s">
        <v>82</v>
      </c>
      <c r="J147" s="16">
        <v>708.0</v>
      </c>
      <c r="K147" s="16">
        <v>708.0</v>
      </c>
      <c r="L147" s="16">
        <v>0.0</v>
      </c>
      <c r="M147" s="16">
        <v>708.0</v>
      </c>
      <c r="N147" s="14" t="s">
        <v>83</v>
      </c>
      <c r="O147" s="15"/>
    </row>
    <row r="148" ht="15.0" customHeight="1">
      <c r="A148" s="13">
        <v>45914.0</v>
      </c>
      <c r="B148" s="14" t="s">
        <v>353</v>
      </c>
      <c r="C148" s="14" t="s">
        <v>312</v>
      </c>
      <c r="D148" s="14" t="s">
        <v>79</v>
      </c>
      <c r="E148" s="15" t="s">
        <v>140</v>
      </c>
      <c r="F148" s="15" t="s">
        <v>42</v>
      </c>
      <c r="G148" s="15" t="s">
        <v>18</v>
      </c>
      <c r="H148" s="15" t="s">
        <v>128</v>
      </c>
      <c r="I148" s="14" t="s">
        <v>82</v>
      </c>
      <c r="J148" s="16">
        <v>20000.0</v>
      </c>
      <c r="K148" s="16">
        <v>20000.0</v>
      </c>
      <c r="L148" s="16">
        <v>0.0</v>
      </c>
      <c r="M148" s="16">
        <v>20000.0</v>
      </c>
      <c r="N148" s="14" t="s">
        <v>83</v>
      </c>
      <c r="O148" s="15"/>
    </row>
    <row r="149" ht="15.0" customHeight="1">
      <c r="A149" s="13">
        <v>45919.0</v>
      </c>
      <c r="B149" s="14" t="s">
        <v>354</v>
      </c>
      <c r="C149" s="14" t="s">
        <v>312</v>
      </c>
      <c r="D149" s="14" t="s">
        <v>79</v>
      </c>
      <c r="E149" s="15" t="s">
        <v>260</v>
      </c>
      <c r="F149" s="15" t="s">
        <v>41</v>
      </c>
      <c r="G149" s="15" t="s">
        <v>18</v>
      </c>
      <c r="H149" s="15" t="s">
        <v>251</v>
      </c>
      <c r="I149" s="14" t="s">
        <v>82</v>
      </c>
      <c r="J149" s="16">
        <v>718.0</v>
      </c>
      <c r="K149" s="16">
        <v>718.0</v>
      </c>
      <c r="L149" s="16">
        <v>0.0</v>
      </c>
      <c r="M149" s="16">
        <v>718.0</v>
      </c>
      <c r="N149" s="14" t="s">
        <v>83</v>
      </c>
      <c r="O149" s="15"/>
    </row>
    <row r="150" ht="15.0" customHeight="1">
      <c r="A150" s="13">
        <v>45920.0</v>
      </c>
      <c r="B150" s="14" t="s">
        <v>355</v>
      </c>
      <c r="C150" s="14" t="s">
        <v>312</v>
      </c>
      <c r="D150" s="14" t="s">
        <v>79</v>
      </c>
      <c r="E150" s="15" t="s">
        <v>356</v>
      </c>
      <c r="F150" s="15" t="s">
        <v>357</v>
      </c>
      <c r="G150" s="15" t="s">
        <v>54</v>
      </c>
      <c r="H150" s="15" t="s">
        <v>358</v>
      </c>
      <c r="I150" s="14" t="s">
        <v>82</v>
      </c>
      <c r="J150" s="16">
        <v>3658.0</v>
      </c>
      <c r="K150" s="16">
        <v>3658.0</v>
      </c>
      <c r="L150" s="16">
        <v>0.0</v>
      </c>
      <c r="M150" s="16">
        <v>3658.0</v>
      </c>
      <c r="N150" s="14" t="s">
        <v>83</v>
      </c>
      <c r="O150" s="15"/>
    </row>
    <row r="151" ht="15.0" customHeight="1">
      <c r="A151" s="13">
        <v>45921.0</v>
      </c>
      <c r="B151" s="14" t="s">
        <v>359</v>
      </c>
      <c r="C151" s="14" t="s">
        <v>312</v>
      </c>
      <c r="D151" s="14" t="s">
        <v>79</v>
      </c>
      <c r="E151" s="15" t="s">
        <v>360</v>
      </c>
      <c r="F151" s="15" t="s">
        <v>42</v>
      </c>
      <c r="G151" s="15" t="s">
        <v>18</v>
      </c>
      <c r="H151" s="15" t="s">
        <v>128</v>
      </c>
      <c r="I151" s="14" t="s">
        <v>82</v>
      </c>
      <c r="J151" s="16">
        <v>3889.0</v>
      </c>
      <c r="K151" s="16">
        <v>3889.0</v>
      </c>
      <c r="L151" s="16">
        <v>0.0</v>
      </c>
      <c r="M151" s="16">
        <v>3889.0</v>
      </c>
      <c r="N151" s="14" t="s">
        <v>83</v>
      </c>
      <c r="O151" s="15"/>
    </row>
    <row r="152" ht="15.0" customHeight="1">
      <c r="A152" s="13">
        <v>45921.0</v>
      </c>
      <c r="B152" s="14" t="s">
        <v>361</v>
      </c>
      <c r="C152" s="14" t="s">
        <v>312</v>
      </c>
      <c r="D152" s="14" t="s">
        <v>79</v>
      </c>
      <c r="E152" s="15" t="s">
        <v>362</v>
      </c>
      <c r="F152" s="15" t="s">
        <v>40</v>
      </c>
      <c r="G152" s="15" t="s">
        <v>21</v>
      </c>
      <c r="H152" s="15" t="s">
        <v>150</v>
      </c>
      <c r="I152" s="14" t="s">
        <v>82</v>
      </c>
      <c r="J152" s="16">
        <v>1390.0</v>
      </c>
      <c r="K152" s="16">
        <v>1390.0</v>
      </c>
      <c r="L152" s="16">
        <v>0.0</v>
      </c>
      <c r="M152" s="16">
        <v>1390.0</v>
      </c>
      <c r="N152" s="14" t="s">
        <v>83</v>
      </c>
      <c r="O152" s="15"/>
    </row>
    <row r="153" ht="15.0" customHeight="1">
      <c r="A153" s="13">
        <v>45921.0</v>
      </c>
      <c r="B153" s="14" t="s">
        <v>363</v>
      </c>
      <c r="C153" s="14" t="s">
        <v>312</v>
      </c>
      <c r="D153" s="14" t="s">
        <v>79</v>
      </c>
      <c r="E153" s="15" t="s">
        <v>274</v>
      </c>
      <c r="F153" s="15" t="s">
        <v>40</v>
      </c>
      <c r="G153" s="15" t="s">
        <v>21</v>
      </c>
      <c r="H153" s="15" t="s">
        <v>150</v>
      </c>
      <c r="I153" s="14" t="s">
        <v>82</v>
      </c>
      <c r="J153" s="16">
        <v>12495.0</v>
      </c>
      <c r="K153" s="16">
        <v>12495.0</v>
      </c>
      <c r="L153" s="16">
        <v>0.0</v>
      </c>
      <c r="M153" s="16">
        <v>12495.0</v>
      </c>
      <c r="N153" s="14" t="s">
        <v>83</v>
      </c>
      <c r="O153" s="15"/>
    </row>
    <row r="154" ht="15.0" customHeight="1">
      <c r="A154" s="13">
        <v>45896.0</v>
      </c>
      <c r="B154" s="14" t="s">
        <v>364</v>
      </c>
      <c r="C154" s="14" t="s">
        <v>312</v>
      </c>
      <c r="D154" s="14" t="s">
        <v>126</v>
      </c>
      <c r="E154" s="15" t="s">
        <v>365</v>
      </c>
      <c r="F154" s="15" t="s">
        <v>25</v>
      </c>
      <c r="G154" s="15" t="s">
        <v>25</v>
      </c>
      <c r="H154" s="15" t="s">
        <v>366</v>
      </c>
      <c r="I154" s="14" t="s">
        <v>82</v>
      </c>
      <c r="J154" s="16">
        <v>24000.0</v>
      </c>
      <c r="K154" s="16">
        <v>24000.0</v>
      </c>
      <c r="L154" s="16">
        <v>0.0</v>
      </c>
      <c r="M154" s="16">
        <v>24000.0</v>
      </c>
      <c r="N154" s="14" t="s">
        <v>83</v>
      </c>
      <c r="O154" s="15"/>
    </row>
    <row r="155" ht="15.0" customHeight="1">
      <c r="A155" s="13">
        <v>45903.0</v>
      </c>
      <c r="B155" s="14" t="s">
        <v>367</v>
      </c>
      <c r="C155" s="14" t="s">
        <v>312</v>
      </c>
      <c r="D155" s="14" t="s">
        <v>126</v>
      </c>
      <c r="E155" s="15" t="s">
        <v>173</v>
      </c>
      <c r="F155" s="15" t="s">
        <v>44</v>
      </c>
      <c r="G155" s="15" t="s">
        <v>29</v>
      </c>
      <c r="H155" s="15" t="s">
        <v>118</v>
      </c>
      <c r="I155" s="14" t="s">
        <v>82</v>
      </c>
      <c r="J155" s="16">
        <v>2228.0</v>
      </c>
      <c r="K155" s="16">
        <v>2228.0</v>
      </c>
      <c r="L155" s="16">
        <v>0.0</v>
      </c>
      <c r="M155" s="16">
        <v>2228.0</v>
      </c>
      <c r="N155" s="14" t="s">
        <v>83</v>
      </c>
      <c r="O155" s="15"/>
    </row>
    <row r="156" ht="15.0" customHeight="1">
      <c r="A156" s="13">
        <v>45903.0</v>
      </c>
      <c r="B156" s="14" t="s">
        <v>368</v>
      </c>
      <c r="C156" s="14" t="s">
        <v>312</v>
      </c>
      <c r="D156" s="14" t="s">
        <v>126</v>
      </c>
      <c r="E156" s="15" t="s">
        <v>168</v>
      </c>
      <c r="F156" s="15" t="s">
        <v>44</v>
      </c>
      <c r="G156" s="15" t="s">
        <v>29</v>
      </c>
      <c r="H156" s="15" t="s">
        <v>118</v>
      </c>
      <c r="I156" s="14" t="s">
        <v>82</v>
      </c>
      <c r="J156" s="16">
        <v>5720.0</v>
      </c>
      <c r="K156" s="16">
        <v>5720.0</v>
      </c>
      <c r="L156" s="16">
        <v>0.0</v>
      </c>
      <c r="M156" s="16">
        <v>5720.0</v>
      </c>
      <c r="N156" s="14" t="s">
        <v>83</v>
      </c>
      <c r="O156" s="15"/>
    </row>
    <row r="157" ht="15.0" customHeight="1">
      <c r="A157" s="13">
        <v>45923.0</v>
      </c>
      <c r="B157" s="14" t="s">
        <v>369</v>
      </c>
      <c r="C157" s="14" t="s">
        <v>370</v>
      </c>
      <c r="D157" s="14" t="s">
        <v>79</v>
      </c>
      <c r="E157" s="15" t="s">
        <v>260</v>
      </c>
      <c r="F157" s="15" t="s">
        <v>41</v>
      </c>
      <c r="G157" s="15" t="s">
        <v>18</v>
      </c>
      <c r="H157" s="15" t="s">
        <v>251</v>
      </c>
      <c r="I157" s="14" t="s">
        <v>82</v>
      </c>
      <c r="J157" s="16">
        <v>797.0</v>
      </c>
      <c r="K157" s="16">
        <v>797.0</v>
      </c>
      <c r="L157" s="16">
        <v>0.0</v>
      </c>
      <c r="M157" s="16">
        <v>797.0</v>
      </c>
      <c r="N157" s="14" t="s">
        <v>83</v>
      </c>
      <c r="O157" s="15"/>
    </row>
    <row r="158" ht="15.0" customHeight="1">
      <c r="A158" s="13">
        <v>45923.0</v>
      </c>
      <c r="B158" s="14" t="s">
        <v>371</v>
      </c>
      <c r="C158" s="14" t="s">
        <v>370</v>
      </c>
      <c r="D158" s="14" t="s">
        <v>79</v>
      </c>
      <c r="E158" s="15" t="s">
        <v>260</v>
      </c>
      <c r="F158" s="15" t="s">
        <v>41</v>
      </c>
      <c r="G158" s="15" t="s">
        <v>18</v>
      </c>
      <c r="H158" s="15" t="s">
        <v>251</v>
      </c>
      <c r="I158" s="14" t="s">
        <v>82</v>
      </c>
      <c r="J158" s="16">
        <v>916.0</v>
      </c>
      <c r="K158" s="16">
        <v>916.0</v>
      </c>
      <c r="L158" s="16">
        <v>0.0</v>
      </c>
      <c r="M158" s="16">
        <v>916.0</v>
      </c>
      <c r="N158" s="14" t="s">
        <v>83</v>
      </c>
      <c r="O158" s="15"/>
    </row>
    <row r="159" ht="15.0" customHeight="1">
      <c r="A159" s="13">
        <v>45923.0</v>
      </c>
      <c r="B159" s="14" t="s">
        <v>372</v>
      </c>
      <c r="C159" s="14" t="s">
        <v>370</v>
      </c>
      <c r="D159" s="14" t="s">
        <v>79</v>
      </c>
      <c r="E159" s="15" t="s">
        <v>260</v>
      </c>
      <c r="F159" s="15" t="s">
        <v>41</v>
      </c>
      <c r="G159" s="15" t="s">
        <v>18</v>
      </c>
      <c r="H159" s="15" t="s">
        <v>251</v>
      </c>
      <c r="I159" s="14" t="s">
        <v>82</v>
      </c>
      <c r="J159" s="16">
        <v>275.0</v>
      </c>
      <c r="K159" s="16">
        <v>275.0</v>
      </c>
      <c r="L159" s="16">
        <v>0.0</v>
      </c>
      <c r="M159" s="16">
        <v>275.0</v>
      </c>
      <c r="N159" s="14" t="s">
        <v>83</v>
      </c>
      <c r="O159" s="15"/>
    </row>
    <row r="160" ht="15.0" customHeight="1">
      <c r="A160" s="13">
        <v>45923.0</v>
      </c>
      <c r="B160" s="14" t="s">
        <v>373</v>
      </c>
      <c r="C160" s="14" t="s">
        <v>370</v>
      </c>
      <c r="D160" s="14" t="s">
        <v>79</v>
      </c>
      <c r="E160" s="15" t="s">
        <v>260</v>
      </c>
      <c r="F160" s="15" t="s">
        <v>41</v>
      </c>
      <c r="G160" s="15" t="s">
        <v>18</v>
      </c>
      <c r="H160" s="15" t="s">
        <v>251</v>
      </c>
      <c r="I160" s="14" t="s">
        <v>82</v>
      </c>
      <c r="J160" s="16">
        <v>234.0</v>
      </c>
      <c r="K160" s="16">
        <v>234.0</v>
      </c>
      <c r="L160" s="16">
        <v>0.0</v>
      </c>
      <c r="M160" s="16">
        <v>234.0</v>
      </c>
      <c r="N160" s="14" t="s">
        <v>83</v>
      </c>
      <c r="O160" s="15"/>
    </row>
    <row r="161" ht="15.0" customHeight="1">
      <c r="A161" s="13">
        <v>45924.0</v>
      </c>
      <c r="B161" s="14" t="s">
        <v>374</v>
      </c>
      <c r="C161" s="14" t="s">
        <v>370</v>
      </c>
      <c r="D161" s="14" t="s">
        <v>79</v>
      </c>
      <c r="E161" s="15" t="s">
        <v>375</v>
      </c>
      <c r="F161" s="15" t="s">
        <v>41</v>
      </c>
      <c r="G161" s="15" t="s">
        <v>18</v>
      </c>
      <c r="H161" s="15" t="s">
        <v>251</v>
      </c>
      <c r="I161" s="14" t="s">
        <v>82</v>
      </c>
      <c r="J161" s="16">
        <v>452.54</v>
      </c>
      <c r="K161" s="16">
        <v>452.54</v>
      </c>
      <c r="L161" s="16">
        <v>0.0</v>
      </c>
      <c r="M161" s="16">
        <v>452.54</v>
      </c>
      <c r="N161" s="14" t="s">
        <v>83</v>
      </c>
      <c r="O161" s="15"/>
    </row>
    <row r="162" ht="15.0" customHeight="1">
      <c r="A162" s="13">
        <v>45924.0</v>
      </c>
      <c r="B162" s="14" t="s">
        <v>376</v>
      </c>
      <c r="C162" s="14" t="s">
        <v>370</v>
      </c>
      <c r="D162" s="14" t="s">
        <v>79</v>
      </c>
      <c r="E162" s="15" t="s">
        <v>260</v>
      </c>
      <c r="F162" s="15" t="s">
        <v>41</v>
      </c>
      <c r="G162" s="15" t="s">
        <v>18</v>
      </c>
      <c r="H162" s="15" t="s">
        <v>251</v>
      </c>
      <c r="I162" s="14" t="s">
        <v>82</v>
      </c>
      <c r="J162" s="16">
        <v>326.0</v>
      </c>
      <c r="K162" s="16">
        <v>326.0</v>
      </c>
      <c r="L162" s="16">
        <v>0.0</v>
      </c>
      <c r="M162" s="16">
        <v>326.0</v>
      </c>
      <c r="N162" s="14" t="s">
        <v>83</v>
      </c>
      <c r="O162" s="15"/>
    </row>
    <row r="163" ht="15.0" customHeight="1">
      <c r="A163" s="13">
        <v>45924.0</v>
      </c>
      <c r="B163" s="14" t="s">
        <v>377</v>
      </c>
      <c r="C163" s="14" t="s">
        <v>370</v>
      </c>
      <c r="D163" s="14" t="s">
        <v>79</v>
      </c>
      <c r="E163" s="15" t="s">
        <v>378</v>
      </c>
      <c r="F163" s="15" t="s">
        <v>41</v>
      </c>
      <c r="G163" s="15" t="s">
        <v>18</v>
      </c>
      <c r="H163" s="15" t="s">
        <v>251</v>
      </c>
      <c r="I163" s="14" t="s">
        <v>82</v>
      </c>
      <c r="J163" s="16">
        <v>411.0</v>
      </c>
      <c r="K163" s="16">
        <v>411.0</v>
      </c>
      <c r="L163" s="16">
        <v>0.0</v>
      </c>
      <c r="M163" s="16">
        <v>411.0</v>
      </c>
      <c r="N163" s="14" t="s">
        <v>83</v>
      </c>
      <c r="O163" s="15"/>
    </row>
    <row r="164" ht="15.0" customHeight="1">
      <c r="A164" s="13">
        <v>45925.0</v>
      </c>
      <c r="B164" s="14" t="s">
        <v>379</v>
      </c>
      <c r="C164" s="14" t="s">
        <v>370</v>
      </c>
      <c r="D164" s="14" t="s">
        <v>79</v>
      </c>
      <c r="E164" s="15" t="s">
        <v>155</v>
      </c>
      <c r="F164" s="15" t="s">
        <v>39</v>
      </c>
      <c r="G164" s="15" t="s">
        <v>15</v>
      </c>
      <c r="H164" s="15" t="s">
        <v>156</v>
      </c>
      <c r="I164" s="14" t="s">
        <v>82</v>
      </c>
      <c r="J164" s="16">
        <v>951.54</v>
      </c>
      <c r="K164" s="16">
        <v>951.54</v>
      </c>
      <c r="L164" s="16">
        <v>0.0</v>
      </c>
      <c r="M164" s="16">
        <v>951.54</v>
      </c>
      <c r="N164" s="14" t="s">
        <v>83</v>
      </c>
      <c r="O164" s="15"/>
    </row>
    <row r="165" ht="15.0" customHeight="1">
      <c r="A165" s="13">
        <v>45925.0</v>
      </c>
      <c r="B165" s="14" t="s">
        <v>380</v>
      </c>
      <c r="C165" s="14" t="s">
        <v>370</v>
      </c>
      <c r="D165" s="14" t="s">
        <v>79</v>
      </c>
      <c r="E165" s="15" t="s">
        <v>260</v>
      </c>
      <c r="F165" s="15" t="s">
        <v>41</v>
      </c>
      <c r="G165" s="15" t="s">
        <v>18</v>
      </c>
      <c r="H165" s="15" t="s">
        <v>251</v>
      </c>
      <c r="I165" s="14" t="s">
        <v>82</v>
      </c>
      <c r="J165" s="16">
        <v>719.0</v>
      </c>
      <c r="K165" s="16">
        <v>719.0</v>
      </c>
      <c r="L165" s="16">
        <v>0.0</v>
      </c>
      <c r="M165" s="16">
        <v>719.0</v>
      </c>
      <c r="N165" s="14" t="s">
        <v>83</v>
      </c>
      <c r="O165" s="15"/>
    </row>
    <row r="166" ht="15.0" customHeight="1">
      <c r="A166" s="13">
        <v>45925.0</v>
      </c>
      <c r="B166" s="14" t="s">
        <v>381</v>
      </c>
      <c r="C166" s="14" t="s">
        <v>370</v>
      </c>
      <c r="D166" s="14" t="s">
        <v>79</v>
      </c>
      <c r="E166" s="15" t="s">
        <v>206</v>
      </c>
      <c r="F166" s="15" t="s">
        <v>44</v>
      </c>
      <c r="G166" s="15" t="s">
        <v>29</v>
      </c>
      <c r="H166" s="15" t="s">
        <v>118</v>
      </c>
      <c r="I166" s="14" t="s">
        <v>82</v>
      </c>
      <c r="J166" s="16">
        <v>775.0</v>
      </c>
      <c r="K166" s="16">
        <v>775.0</v>
      </c>
      <c r="L166" s="16">
        <v>0.0</v>
      </c>
      <c r="M166" s="16">
        <v>775.0</v>
      </c>
      <c r="N166" s="14" t="s">
        <v>83</v>
      </c>
      <c r="O166" s="15"/>
    </row>
    <row r="167" ht="15.0" customHeight="1">
      <c r="A167" s="13">
        <v>45925.0</v>
      </c>
      <c r="B167" s="14" t="s">
        <v>382</v>
      </c>
      <c r="C167" s="14" t="s">
        <v>370</v>
      </c>
      <c r="D167" s="14" t="s">
        <v>79</v>
      </c>
      <c r="E167" s="15" t="s">
        <v>383</v>
      </c>
      <c r="F167" s="15" t="s">
        <v>44</v>
      </c>
      <c r="G167" s="15" t="s">
        <v>29</v>
      </c>
      <c r="H167" s="15" t="s">
        <v>118</v>
      </c>
      <c r="I167" s="14" t="s">
        <v>82</v>
      </c>
      <c r="J167" s="16">
        <v>230.99</v>
      </c>
      <c r="K167" s="16">
        <v>230.99</v>
      </c>
      <c r="L167" s="16">
        <v>0.0</v>
      </c>
      <c r="M167" s="16">
        <v>230.99</v>
      </c>
      <c r="N167" s="14" t="s">
        <v>83</v>
      </c>
      <c r="O167" s="15"/>
    </row>
    <row r="168" ht="15.0" customHeight="1">
      <c r="A168" s="13">
        <v>45925.0</v>
      </c>
      <c r="B168" s="14" t="s">
        <v>384</v>
      </c>
      <c r="C168" s="14" t="s">
        <v>370</v>
      </c>
      <c r="D168" s="14" t="s">
        <v>79</v>
      </c>
      <c r="E168" s="15" t="s">
        <v>155</v>
      </c>
      <c r="F168" s="15" t="s">
        <v>39</v>
      </c>
      <c r="G168" s="15" t="s">
        <v>15</v>
      </c>
      <c r="H168" s="15" t="s">
        <v>156</v>
      </c>
      <c r="I168" s="14" t="s">
        <v>82</v>
      </c>
      <c r="J168" s="16">
        <v>62824.0</v>
      </c>
      <c r="K168" s="16">
        <v>62824.0</v>
      </c>
      <c r="L168" s="16">
        <v>0.0</v>
      </c>
      <c r="M168" s="16">
        <v>62824.0</v>
      </c>
      <c r="N168" s="14" t="s">
        <v>83</v>
      </c>
      <c r="O168" s="15"/>
    </row>
    <row r="169" ht="15.0" customHeight="1">
      <c r="A169" s="13">
        <v>45927.0</v>
      </c>
      <c r="B169" s="14" t="s">
        <v>385</v>
      </c>
      <c r="C169" s="14" t="s">
        <v>370</v>
      </c>
      <c r="D169" s="14" t="s">
        <v>79</v>
      </c>
      <c r="E169" s="15" t="s">
        <v>386</v>
      </c>
      <c r="F169" s="15" t="s">
        <v>45</v>
      </c>
      <c r="G169" s="15" t="s">
        <v>15</v>
      </c>
      <c r="H169" s="15" t="s">
        <v>248</v>
      </c>
      <c r="I169" s="14" t="s">
        <v>82</v>
      </c>
      <c r="J169" s="16">
        <v>1942.4</v>
      </c>
      <c r="K169" s="16">
        <v>1942.4</v>
      </c>
      <c r="L169" s="16">
        <v>0.0</v>
      </c>
      <c r="M169" s="16">
        <v>1942.4</v>
      </c>
      <c r="N169" s="14" t="s">
        <v>83</v>
      </c>
      <c r="O169" s="15"/>
    </row>
    <row r="170" ht="15.0" customHeight="1">
      <c r="A170" s="13">
        <v>45929.0</v>
      </c>
      <c r="B170" s="14" t="s">
        <v>387</v>
      </c>
      <c r="C170" s="14" t="s">
        <v>370</v>
      </c>
      <c r="D170" s="14" t="s">
        <v>79</v>
      </c>
      <c r="E170" s="15" t="s">
        <v>209</v>
      </c>
      <c r="F170" s="15" t="s">
        <v>42</v>
      </c>
      <c r="G170" s="15" t="s">
        <v>18</v>
      </c>
      <c r="H170" s="15" t="s">
        <v>128</v>
      </c>
      <c r="I170" s="14" t="s">
        <v>82</v>
      </c>
      <c r="J170" s="16">
        <v>678.0</v>
      </c>
      <c r="K170" s="16">
        <v>678.0</v>
      </c>
      <c r="L170" s="16">
        <v>0.0</v>
      </c>
      <c r="M170" s="16">
        <v>678.0</v>
      </c>
      <c r="N170" s="14" t="s">
        <v>83</v>
      </c>
      <c r="O170" s="15"/>
    </row>
    <row r="171" ht="15.0" customHeight="1">
      <c r="A171" s="13">
        <v>45929.0</v>
      </c>
      <c r="B171" s="14" t="s">
        <v>388</v>
      </c>
      <c r="C171" s="14" t="s">
        <v>370</v>
      </c>
      <c r="D171" s="14" t="s">
        <v>79</v>
      </c>
      <c r="E171" s="15" t="s">
        <v>155</v>
      </c>
      <c r="F171" s="15" t="s">
        <v>39</v>
      </c>
      <c r="G171" s="15" t="s">
        <v>15</v>
      </c>
      <c r="H171" s="15" t="s">
        <v>156</v>
      </c>
      <c r="I171" s="14" t="s">
        <v>82</v>
      </c>
      <c r="J171" s="16">
        <v>1150.0</v>
      </c>
      <c r="K171" s="16">
        <v>1150.0</v>
      </c>
      <c r="L171" s="16">
        <v>0.0</v>
      </c>
      <c r="M171" s="16">
        <v>1150.0</v>
      </c>
      <c r="N171" s="14" t="s">
        <v>83</v>
      </c>
      <c r="O171" s="15"/>
    </row>
    <row r="172" ht="15.0" customHeight="1">
      <c r="A172" s="13">
        <v>45929.0</v>
      </c>
      <c r="B172" s="14" t="s">
        <v>389</v>
      </c>
      <c r="C172" s="14" t="s">
        <v>370</v>
      </c>
      <c r="D172" s="14" t="s">
        <v>79</v>
      </c>
      <c r="E172" s="15" t="s">
        <v>155</v>
      </c>
      <c r="F172" s="15" t="s">
        <v>39</v>
      </c>
      <c r="G172" s="15" t="s">
        <v>15</v>
      </c>
      <c r="H172" s="15" t="s">
        <v>156</v>
      </c>
      <c r="I172" s="14" t="s">
        <v>82</v>
      </c>
      <c r="J172" s="16">
        <v>900.0</v>
      </c>
      <c r="K172" s="16">
        <v>900.0</v>
      </c>
      <c r="L172" s="16">
        <v>0.0</v>
      </c>
      <c r="M172" s="16">
        <v>900.0</v>
      </c>
      <c r="N172" s="14" t="s">
        <v>83</v>
      </c>
      <c r="O172" s="15"/>
    </row>
    <row r="173" ht="15.0" customHeight="1">
      <c r="A173" s="13">
        <v>45930.0</v>
      </c>
      <c r="B173" s="14" t="s">
        <v>390</v>
      </c>
      <c r="C173" s="14" t="s">
        <v>370</v>
      </c>
      <c r="D173" s="14" t="s">
        <v>79</v>
      </c>
      <c r="E173" s="15" t="s">
        <v>117</v>
      </c>
      <c r="F173" s="15" t="s">
        <v>44</v>
      </c>
      <c r="G173" s="15" t="s">
        <v>29</v>
      </c>
      <c r="H173" s="15" t="s">
        <v>118</v>
      </c>
      <c r="I173" s="14" t="s">
        <v>82</v>
      </c>
      <c r="J173" s="16">
        <v>226.0</v>
      </c>
      <c r="K173" s="16">
        <v>226.0</v>
      </c>
      <c r="L173" s="16">
        <v>0.0</v>
      </c>
      <c r="M173" s="16">
        <v>226.0</v>
      </c>
      <c r="N173" s="14" t="s">
        <v>83</v>
      </c>
      <c r="O173" s="15"/>
    </row>
    <row r="174" ht="15.0" customHeight="1">
      <c r="A174" s="13">
        <v>45930.0</v>
      </c>
      <c r="B174" s="14" t="s">
        <v>391</v>
      </c>
      <c r="C174" s="14" t="s">
        <v>370</v>
      </c>
      <c r="D174" s="14" t="s">
        <v>79</v>
      </c>
      <c r="E174" s="15" t="s">
        <v>117</v>
      </c>
      <c r="F174" s="15" t="s">
        <v>44</v>
      </c>
      <c r="G174" s="15" t="s">
        <v>29</v>
      </c>
      <c r="H174" s="15" t="s">
        <v>118</v>
      </c>
      <c r="I174" s="14" t="s">
        <v>82</v>
      </c>
      <c r="J174" s="16">
        <v>410.0</v>
      </c>
      <c r="K174" s="16">
        <v>410.0</v>
      </c>
      <c r="L174" s="16">
        <v>0.0</v>
      </c>
      <c r="M174" s="16">
        <v>410.0</v>
      </c>
      <c r="N174" s="14" t="s">
        <v>83</v>
      </c>
      <c r="O174" s="15"/>
    </row>
    <row r="175" ht="15.0" customHeight="1">
      <c r="A175" s="13">
        <v>45931.0</v>
      </c>
      <c r="B175" s="14" t="s">
        <v>392</v>
      </c>
      <c r="C175" s="14" t="s">
        <v>370</v>
      </c>
      <c r="D175" s="14" t="s">
        <v>79</v>
      </c>
      <c r="E175" s="15" t="s">
        <v>285</v>
      </c>
      <c r="F175" s="15" t="s">
        <v>51</v>
      </c>
      <c r="G175" s="15" t="s">
        <v>30</v>
      </c>
      <c r="H175" s="15" t="s">
        <v>81</v>
      </c>
      <c r="I175" s="14" t="s">
        <v>82</v>
      </c>
      <c r="J175" s="16">
        <v>649.0</v>
      </c>
      <c r="K175" s="16">
        <v>649.0</v>
      </c>
      <c r="L175" s="16">
        <v>0.0</v>
      </c>
      <c r="M175" s="16">
        <v>649.0</v>
      </c>
      <c r="N175" s="14" t="s">
        <v>83</v>
      </c>
      <c r="O175" s="15"/>
    </row>
    <row r="176" ht="15.0" customHeight="1">
      <c r="A176" s="13">
        <v>45932.0</v>
      </c>
      <c r="B176" s="14" t="s">
        <v>393</v>
      </c>
      <c r="C176" s="14" t="s">
        <v>370</v>
      </c>
      <c r="D176" s="14" t="s">
        <v>79</v>
      </c>
      <c r="E176" s="15" t="s">
        <v>206</v>
      </c>
      <c r="F176" s="15" t="s">
        <v>44</v>
      </c>
      <c r="G176" s="15" t="s">
        <v>29</v>
      </c>
      <c r="H176" s="15" t="s">
        <v>118</v>
      </c>
      <c r="I176" s="14" t="s">
        <v>82</v>
      </c>
      <c r="J176" s="16">
        <v>218.0</v>
      </c>
      <c r="K176" s="16">
        <v>218.0</v>
      </c>
      <c r="L176" s="16">
        <v>0.0</v>
      </c>
      <c r="M176" s="16">
        <v>218.0</v>
      </c>
      <c r="N176" s="14" t="s">
        <v>83</v>
      </c>
      <c r="O176" s="15"/>
    </row>
    <row r="177" ht="15.0" customHeight="1">
      <c r="A177" s="13">
        <v>45932.0</v>
      </c>
      <c r="B177" s="14" t="s">
        <v>394</v>
      </c>
      <c r="C177" s="14" t="s">
        <v>370</v>
      </c>
      <c r="D177" s="14" t="s">
        <v>79</v>
      </c>
      <c r="E177" s="15" t="s">
        <v>206</v>
      </c>
      <c r="F177" s="15" t="s">
        <v>44</v>
      </c>
      <c r="G177" s="15" t="s">
        <v>29</v>
      </c>
      <c r="H177" s="15" t="s">
        <v>118</v>
      </c>
      <c r="I177" s="14" t="s">
        <v>82</v>
      </c>
      <c r="J177" s="16">
        <v>721.0</v>
      </c>
      <c r="K177" s="16">
        <v>721.0</v>
      </c>
      <c r="L177" s="16">
        <v>0.0</v>
      </c>
      <c r="M177" s="16">
        <v>721.0</v>
      </c>
      <c r="N177" s="14" t="s">
        <v>83</v>
      </c>
      <c r="O177" s="15"/>
    </row>
    <row r="178" ht="15.0" customHeight="1">
      <c r="A178" s="13">
        <v>45933.0</v>
      </c>
      <c r="B178" s="14" t="s">
        <v>395</v>
      </c>
      <c r="C178" s="14" t="s">
        <v>370</v>
      </c>
      <c r="D178" s="14" t="s">
        <v>79</v>
      </c>
      <c r="E178" s="15" t="s">
        <v>396</v>
      </c>
      <c r="F178" s="15" t="s">
        <v>41</v>
      </c>
      <c r="G178" s="15" t="s">
        <v>18</v>
      </c>
      <c r="H178" s="15" t="s">
        <v>251</v>
      </c>
      <c r="I178" s="14" t="s">
        <v>82</v>
      </c>
      <c r="J178" s="16">
        <v>3375.25</v>
      </c>
      <c r="K178" s="16">
        <v>3375.25</v>
      </c>
      <c r="L178" s="16">
        <v>0.0</v>
      </c>
      <c r="M178" s="16">
        <v>3375.25</v>
      </c>
      <c r="N178" s="14" t="s">
        <v>83</v>
      </c>
      <c r="O178" s="15"/>
    </row>
    <row r="179" ht="15.0" customHeight="1">
      <c r="A179" s="13">
        <v>45934.0</v>
      </c>
      <c r="B179" s="14" t="s">
        <v>397</v>
      </c>
      <c r="C179" s="14" t="s">
        <v>370</v>
      </c>
      <c r="D179" s="14" t="s">
        <v>79</v>
      </c>
      <c r="E179" s="15" t="s">
        <v>398</v>
      </c>
      <c r="F179" s="15" t="s">
        <v>101</v>
      </c>
      <c r="G179" s="15" t="s">
        <v>102</v>
      </c>
      <c r="H179" s="15" t="s">
        <v>101</v>
      </c>
      <c r="I179" s="14" t="s">
        <v>103</v>
      </c>
      <c r="J179" s="16">
        <v>-115088.0</v>
      </c>
      <c r="K179" s="16">
        <v>0.0</v>
      </c>
      <c r="L179" s="16">
        <v>0.0</v>
      </c>
      <c r="M179" s="16">
        <v>0.0</v>
      </c>
      <c r="N179" s="14" t="s">
        <v>83</v>
      </c>
      <c r="O179" s="15" t="s">
        <v>104</v>
      </c>
    </row>
    <row r="180" ht="15.0" customHeight="1">
      <c r="A180" s="13">
        <v>45935.0</v>
      </c>
      <c r="B180" s="14" t="s">
        <v>399</v>
      </c>
      <c r="C180" s="14" t="s">
        <v>370</v>
      </c>
      <c r="D180" s="14" t="s">
        <v>79</v>
      </c>
      <c r="E180" s="15" t="s">
        <v>400</v>
      </c>
      <c r="F180" s="15" t="s">
        <v>41</v>
      </c>
      <c r="G180" s="15" t="s">
        <v>18</v>
      </c>
      <c r="H180" s="15" t="s">
        <v>251</v>
      </c>
      <c r="I180" s="14" t="s">
        <v>82</v>
      </c>
      <c r="J180" s="16">
        <v>751.0</v>
      </c>
      <c r="K180" s="16">
        <v>751.0</v>
      </c>
      <c r="L180" s="16">
        <v>0.0</v>
      </c>
      <c r="M180" s="16">
        <v>751.0</v>
      </c>
      <c r="N180" s="14" t="s">
        <v>83</v>
      </c>
      <c r="O180" s="15"/>
    </row>
    <row r="181" ht="15.0" customHeight="1">
      <c r="A181" s="13">
        <v>45935.0</v>
      </c>
      <c r="B181" s="14" t="s">
        <v>401</v>
      </c>
      <c r="C181" s="14" t="s">
        <v>370</v>
      </c>
      <c r="D181" s="14" t="s">
        <v>79</v>
      </c>
      <c r="E181" s="15" t="s">
        <v>402</v>
      </c>
      <c r="F181" s="15" t="s">
        <v>41</v>
      </c>
      <c r="G181" s="15" t="s">
        <v>18</v>
      </c>
      <c r="H181" s="15" t="s">
        <v>251</v>
      </c>
      <c r="I181" s="14" t="s">
        <v>82</v>
      </c>
      <c r="J181" s="16">
        <v>947.0</v>
      </c>
      <c r="K181" s="16">
        <v>947.0</v>
      </c>
      <c r="L181" s="16">
        <v>0.0</v>
      </c>
      <c r="M181" s="16">
        <v>947.0</v>
      </c>
      <c r="N181" s="14" t="s">
        <v>83</v>
      </c>
      <c r="O181" s="15"/>
    </row>
    <row r="182" ht="15.0" customHeight="1">
      <c r="A182" s="13">
        <v>45935.0</v>
      </c>
      <c r="B182" s="14" t="s">
        <v>403</v>
      </c>
      <c r="C182" s="14" t="s">
        <v>370</v>
      </c>
      <c r="D182" s="14" t="s">
        <v>79</v>
      </c>
      <c r="E182" s="15" t="s">
        <v>250</v>
      </c>
      <c r="F182" s="15" t="s">
        <v>41</v>
      </c>
      <c r="G182" s="15" t="s">
        <v>18</v>
      </c>
      <c r="H182" s="15" t="s">
        <v>251</v>
      </c>
      <c r="I182" s="14" t="s">
        <v>82</v>
      </c>
      <c r="J182" s="16">
        <v>339.0</v>
      </c>
      <c r="K182" s="16">
        <v>339.0</v>
      </c>
      <c r="L182" s="16">
        <v>0.0</v>
      </c>
      <c r="M182" s="16">
        <v>339.0</v>
      </c>
      <c r="N182" s="14" t="s">
        <v>83</v>
      </c>
      <c r="O182" s="15"/>
    </row>
    <row r="183" ht="15.0" customHeight="1">
      <c r="A183" s="13">
        <v>45935.0</v>
      </c>
      <c r="B183" s="14" t="s">
        <v>404</v>
      </c>
      <c r="C183" s="14" t="s">
        <v>370</v>
      </c>
      <c r="D183" s="14" t="s">
        <v>79</v>
      </c>
      <c r="E183" s="15" t="s">
        <v>405</v>
      </c>
      <c r="F183" s="15" t="s">
        <v>25</v>
      </c>
      <c r="G183" s="15" t="s">
        <v>25</v>
      </c>
      <c r="H183" s="15" t="s">
        <v>366</v>
      </c>
      <c r="I183" s="14" t="s">
        <v>82</v>
      </c>
      <c r="J183" s="16">
        <v>22500.0</v>
      </c>
      <c r="K183" s="16">
        <v>22500.0</v>
      </c>
      <c r="L183" s="16">
        <v>0.0</v>
      </c>
      <c r="M183" s="16">
        <v>22500.0</v>
      </c>
      <c r="N183" s="14" t="s">
        <v>83</v>
      </c>
      <c r="O183" s="15"/>
    </row>
    <row r="184" ht="15.0" customHeight="1">
      <c r="A184" s="13">
        <v>45935.0</v>
      </c>
      <c r="B184" s="14" t="s">
        <v>406</v>
      </c>
      <c r="C184" s="14" t="s">
        <v>370</v>
      </c>
      <c r="D184" s="14" t="s">
        <v>79</v>
      </c>
      <c r="E184" s="15" t="s">
        <v>303</v>
      </c>
      <c r="F184" s="15" t="s">
        <v>41</v>
      </c>
      <c r="G184" s="15" t="s">
        <v>18</v>
      </c>
      <c r="H184" s="15" t="s">
        <v>251</v>
      </c>
      <c r="I184" s="14" t="s">
        <v>82</v>
      </c>
      <c r="J184" s="16">
        <v>571.0</v>
      </c>
      <c r="K184" s="16">
        <v>571.0</v>
      </c>
      <c r="L184" s="16">
        <v>0.0</v>
      </c>
      <c r="M184" s="16">
        <v>571.0</v>
      </c>
      <c r="N184" s="14" t="s">
        <v>83</v>
      </c>
      <c r="O184" s="15"/>
    </row>
    <row r="185" ht="15.0" customHeight="1">
      <c r="A185" s="13">
        <v>45935.0</v>
      </c>
      <c r="B185" s="14" t="s">
        <v>407</v>
      </c>
      <c r="C185" s="14" t="s">
        <v>370</v>
      </c>
      <c r="D185" s="14" t="s">
        <v>79</v>
      </c>
      <c r="E185" s="15" t="s">
        <v>292</v>
      </c>
      <c r="F185" s="15" t="s">
        <v>51</v>
      </c>
      <c r="G185" s="15" t="s">
        <v>30</v>
      </c>
      <c r="H185" s="15" t="s">
        <v>81</v>
      </c>
      <c r="I185" s="14" t="s">
        <v>82</v>
      </c>
      <c r="J185" s="16">
        <v>299.0</v>
      </c>
      <c r="K185" s="16">
        <v>299.0</v>
      </c>
      <c r="L185" s="16">
        <v>0.0</v>
      </c>
      <c r="M185" s="16">
        <v>299.0</v>
      </c>
      <c r="N185" s="14" t="s">
        <v>83</v>
      </c>
      <c r="O185" s="15"/>
    </row>
    <row r="186" ht="15.0" customHeight="1">
      <c r="A186" s="13">
        <v>45935.0</v>
      </c>
      <c r="B186" s="14" t="s">
        <v>408</v>
      </c>
      <c r="C186" s="14" t="s">
        <v>370</v>
      </c>
      <c r="D186" s="14" t="s">
        <v>79</v>
      </c>
      <c r="E186" s="15" t="s">
        <v>206</v>
      </c>
      <c r="F186" s="15" t="s">
        <v>44</v>
      </c>
      <c r="G186" s="15" t="s">
        <v>29</v>
      </c>
      <c r="H186" s="15" t="s">
        <v>118</v>
      </c>
      <c r="I186" s="14" t="s">
        <v>82</v>
      </c>
      <c r="J186" s="16">
        <v>667.0</v>
      </c>
      <c r="K186" s="16">
        <v>667.0</v>
      </c>
      <c r="L186" s="16">
        <v>0.0</v>
      </c>
      <c r="M186" s="16">
        <v>667.0</v>
      </c>
      <c r="N186" s="14" t="s">
        <v>83</v>
      </c>
      <c r="O186" s="15"/>
    </row>
    <row r="187" ht="15.0" customHeight="1">
      <c r="A187" s="13">
        <v>45935.0</v>
      </c>
      <c r="B187" s="14" t="s">
        <v>409</v>
      </c>
      <c r="C187" s="14" t="s">
        <v>370</v>
      </c>
      <c r="D187" s="14" t="s">
        <v>79</v>
      </c>
      <c r="E187" s="15" t="s">
        <v>250</v>
      </c>
      <c r="F187" s="15" t="s">
        <v>41</v>
      </c>
      <c r="G187" s="15" t="s">
        <v>18</v>
      </c>
      <c r="H187" s="15" t="s">
        <v>251</v>
      </c>
      <c r="I187" s="14" t="s">
        <v>82</v>
      </c>
      <c r="J187" s="16">
        <v>1003.0</v>
      </c>
      <c r="K187" s="16">
        <v>1003.0</v>
      </c>
      <c r="L187" s="16">
        <v>0.0</v>
      </c>
      <c r="M187" s="16">
        <v>1003.0</v>
      </c>
      <c r="N187" s="14" t="s">
        <v>83</v>
      </c>
      <c r="O187" s="15"/>
    </row>
    <row r="188" ht="15.0" customHeight="1">
      <c r="A188" s="13">
        <v>45936.0</v>
      </c>
      <c r="B188" s="14" t="s">
        <v>410</v>
      </c>
      <c r="C188" s="14" t="s">
        <v>370</v>
      </c>
      <c r="D188" s="14" t="s">
        <v>79</v>
      </c>
      <c r="E188" s="15" t="s">
        <v>303</v>
      </c>
      <c r="F188" s="15" t="s">
        <v>41</v>
      </c>
      <c r="G188" s="15" t="s">
        <v>18</v>
      </c>
      <c r="H188" s="15" t="s">
        <v>251</v>
      </c>
      <c r="I188" s="14" t="s">
        <v>82</v>
      </c>
      <c r="J188" s="16">
        <v>900.0</v>
      </c>
      <c r="K188" s="16">
        <v>900.0</v>
      </c>
      <c r="L188" s="16">
        <v>0.0</v>
      </c>
      <c r="M188" s="16">
        <v>900.0</v>
      </c>
      <c r="N188" s="14" t="s">
        <v>83</v>
      </c>
      <c r="O188" s="15"/>
    </row>
    <row r="189" ht="15.0" customHeight="1">
      <c r="A189" s="13">
        <v>45939.0</v>
      </c>
      <c r="B189" s="14" t="s">
        <v>411</v>
      </c>
      <c r="C189" s="14" t="s">
        <v>370</v>
      </c>
      <c r="D189" s="14" t="s">
        <v>79</v>
      </c>
      <c r="E189" s="15" t="s">
        <v>412</v>
      </c>
      <c r="F189" s="15" t="s">
        <v>41</v>
      </c>
      <c r="G189" s="15" t="s">
        <v>18</v>
      </c>
      <c r="H189" s="15" t="s">
        <v>251</v>
      </c>
      <c r="I189" s="14" t="s">
        <v>82</v>
      </c>
      <c r="J189" s="16">
        <v>237.0</v>
      </c>
      <c r="K189" s="16">
        <v>237.0</v>
      </c>
      <c r="L189" s="16">
        <v>0.0</v>
      </c>
      <c r="M189" s="16">
        <v>237.0</v>
      </c>
      <c r="N189" s="14" t="s">
        <v>83</v>
      </c>
      <c r="O189" s="15"/>
    </row>
    <row r="190" ht="15.0" customHeight="1">
      <c r="A190" s="13">
        <v>45942.0</v>
      </c>
      <c r="B190" s="14"/>
      <c r="C190" s="14" t="s">
        <v>370</v>
      </c>
      <c r="D190" s="14" t="s">
        <v>79</v>
      </c>
      <c r="E190" s="15" t="s">
        <v>413</v>
      </c>
      <c r="F190" s="15" t="s">
        <v>65</v>
      </c>
      <c r="G190" s="15" t="s">
        <v>52</v>
      </c>
      <c r="H190" s="15" t="s">
        <v>414</v>
      </c>
      <c r="I190" s="14" t="s">
        <v>175</v>
      </c>
      <c r="J190" s="16">
        <v>-2572.9</v>
      </c>
      <c r="K190" s="16">
        <v>0.0</v>
      </c>
      <c r="L190" s="16">
        <v>2572.9</v>
      </c>
      <c r="M190" s="16">
        <v>-2572.9</v>
      </c>
      <c r="N190" s="14" t="s">
        <v>83</v>
      </c>
      <c r="O190" s="15"/>
    </row>
    <row r="191" ht="15.0" customHeight="1">
      <c r="A191" s="13">
        <v>45942.0</v>
      </c>
      <c r="B191" s="14" t="s">
        <v>415</v>
      </c>
      <c r="C191" s="14" t="s">
        <v>370</v>
      </c>
      <c r="D191" s="14" t="s">
        <v>79</v>
      </c>
      <c r="E191" s="15" t="s">
        <v>303</v>
      </c>
      <c r="F191" s="15" t="s">
        <v>41</v>
      </c>
      <c r="G191" s="15" t="s">
        <v>18</v>
      </c>
      <c r="H191" s="15" t="s">
        <v>251</v>
      </c>
      <c r="I191" s="14" t="s">
        <v>82</v>
      </c>
      <c r="J191" s="16">
        <v>475.0</v>
      </c>
      <c r="K191" s="16">
        <v>475.0</v>
      </c>
      <c r="L191" s="16">
        <v>0.0</v>
      </c>
      <c r="M191" s="16">
        <v>475.0</v>
      </c>
      <c r="N191" s="14" t="s">
        <v>83</v>
      </c>
      <c r="O191" s="15"/>
    </row>
    <row r="192" ht="15.0" customHeight="1">
      <c r="A192" s="13">
        <v>45942.0</v>
      </c>
      <c r="B192" s="14" t="s">
        <v>202</v>
      </c>
      <c r="C192" s="14" t="s">
        <v>370</v>
      </c>
      <c r="D192" s="14" t="s">
        <v>79</v>
      </c>
      <c r="E192" s="15" t="s">
        <v>413</v>
      </c>
      <c r="F192" s="15" t="s">
        <v>65</v>
      </c>
      <c r="G192" s="15" t="s">
        <v>52</v>
      </c>
      <c r="H192" s="15" t="s">
        <v>414</v>
      </c>
      <c r="I192" s="14" t="s">
        <v>82</v>
      </c>
      <c r="J192" s="16">
        <v>2572.9</v>
      </c>
      <c r="K192" s="16">
        <v>2572.9</v>
      </c>
      <c r="L192" s="16">
        <v>0.0</v>
      </c>
      <c r="M192" s="16">
        <v>2572.9</v>
      </c>
      <c r="N192" s="14" t="s">
        <v>83</v>
      </c>
      <c r="O192" s="15"/>
    </row>
    <row r="193" ht="15.0" customHeight="1">
      <c r="A193" s="13">
        <v>45942.0</v>
      </c>
      <c r="B193" s="14" t="s">
        <v>416</v>
      </c>
      <c r="C193" s="14" t="s">
        <v>370</v>
      </c>
      <c r="D193" s="14" t="s">
        <v>79</v>
      </c>
      <c r="E193" s="15" t="s">
        <v>242</v>
      </c>
      <c r="F193" s="15" t="s">
        <v>242</v>
      </c>
      <c r="G193" s="15" t="s">
        <v>50</v>
      </c>
      <c r="H193" s="15" t="s">
        <v>113</v>
      </c>
      <c r="I193" s="14" t="s">
        <v>82</v>
      </c>
      <c r="J193" s="16">
        <v>3917.68</v>
      </c>
      <c r="K193" s="16">
        <v>3917.68</v>
      </c>
      <c r="L193" s="16">
        <v>0.0</v>
      </c>
      <c r="M193" s="16">
        <v>3917.68</v>
      </c>
      <c r="N193" s="14" t="s">
        <v>114</v>
      </c>
      <c r="O193" s="15" t="s">
        <v>212</v>
      </c>
    </row>
    <row r="194" ht="15.0" customHeight="1">
      <c r="A194" s="13">
        <v>45946.0</v>
      </c>
      <c r="B194" s="14" t="s">
        <v>417</v>
      </c>
      <c r="C194" s="14" t="s">
        <v>370</v>
      </c>
      <c r="D194" s="14" t="s">
        <v>79</v>
      </c>
      <c r="E194" s="15" t="s">
        <v>89</v>
      </c>
      <c r="F194" s="15" t="s">
        <v>37</v>
      </c>
      <c r="G194" s="15" t="s">
        <v>9</v>
      </c>
      <c r="H194" s="15" t="s">
        <v>90</v>
      </c>
      <c r="I194" s="14" t="s">
        <v>82</v>
      </c>
      <c r="J194" s="16">
        <v>11720.0</v>
      </c>
      <c r="K194" s="16">
        <v>11720.0</v>
      </c>
      <c r="L194" s="16">
        <v>0.0</v>
      </c>
      <c r="M194" s="16">
        <v>11720.0</v>
      </c>
      <c r="N194" s="14" t="s">
        <v>83</v>
      </c>
      <c r="O194" s="15"/>
    </row>
    <row r="195" ht="15.0" customHeight="1">
      <c r="A195" s="13">
        <v>45946.0</v>
      </c>
      <c r="B195" s="14" t="s">
        <v>418</v>
      </c>
      <c r="C195" s="14" t="s">
        <v>370</v>
      </c>
      <c r="D195" s="14" t="s">
        <v>79</v>
      </c>
      <c r="E195" s="15" t="s">
        <v>303</v>
      </c>
      <c r="F195" s="15" t="s">
        <v>41</v>
      </c>
      <c r="G195" s="15" t="s">
        <v>18</v>
      </c>
      <c r="H195" s="15" t="s">
        <v>251</v>
      </c>
      <c r="I195" s="14" t="s">
        <v>82</v>
      </c>
      <c r="J195" s="16">
        <v>1533.0</v>
      </c>
      <c r="K195" s="16">
        <v>1533.0</v>
      </c>
      <c r="L195" s="16">
        <v>0.0</v>
      </c>
      <c r="M195" s="16">
        <v>1533.0</v>
      </c>
      <c r="N195" s="14" t="s">
        <v>83</v>
      </c>
      <c r="O195" s="15"/>
    </row>
    <row r="196" ht="15.0" customHeight="1">
      <c r="A196" s="13">
        <v>45948.0</v>
      </c>
      <c r="B196" s="14" t="s">
        <v>419</v>
      </c>
      <c r="C196" s="14" t="s">
        <v>370</v>
      </c>
      <c r="D196" s="14" t="s">
        <v>79</v>
      </c>
      <c r="E196" s="15" t="s">
        <v>155</v>
      </c>
      <c r="F196" s="15" t="s">
        <v>39</v>
      </c>
      <c r="G196" s="15" t="s">
        <v>15</v>
      </c>
      <c r="H196" s="15" t="s">
        <v>156</v>
      </c>
      <c r="I196" s="14" t="s">
        <v>82</v>
      </c>
      <c r="J196" s="16">
        <v>900.0</v>
      </c>
      <c r="K196" s="16">
        <v>900.0</v>
      </c>
      <c r="L196" s="16">
        <v>0.0</v>
      </c>
      <c r="M196" s="16">
        <v>900.0</v>
      </c>
      <c r="N196" s="14" t="s">
        <v>83</v>
      </c>
      <c r="O196" s="15"/>
    </row>
    <row r="197" ht="15.0" customHeight="1">
      <c r="A197" s="13">
        <v>45948.0</v>
      </c>
      <c r="B197" s="14" t="s">
        <v>420</v>
      </c>
      <c r="C197" s="14" t="s">
        <v>370</v>
      </c>
      <c r="D197" s="14" t="s">
        <v>79</v>
      </c>
      <c r="E197" s="15" t="s">
        <v>421</v>
      </c>
      <c r="F197" s="15" t="s">
        <v>51</v>
      </c>
      <c r="G197" s="15" t="s">
        <v>30</v>
      </c>
      <c r="H197" s="15" t="s">
        <v>81</v>
      </c>
      <c r="I197" s="14" t="s">
        <v>82</v>
      </c>
      <c r="J197" s="16">
        <v>1499.0</v>
      </c>
      <c r="K197" s="16">
        <v>1499.0</v>
      </c>
      <c r="L197" s="16">
        <v>0.0</v>
      </c>
      <c r="M197" s="16">
        <v>1499.0</v>
      </c>
      <c r="N197" s="14" t="s">
        <v>83</v>
      </c>
      <c r="O197" s="15"/>
    </row>
    <row r="198" ht="15.0" customHeight="1">
      <c r="A198" s="13">
        <v>45948.0</v>
      </c>
      <c r="B198" s="14" t="s">
        <v>422</v>
      </c>
      <c r="C198" s="14" t="s">
        <v>370</v>
      </c>
      <c r="D198" s="14" t="s">
        <v>79</v>
      </c>
      <c r="E198" s="15" t="s">
        <v>423</v>
      </c>
      <c r="F198" s="15" t="s">
        <v>65</v>
      </c>
      <c r="G198" s="15" t="s">
        <v>52</v>
      </c>
      <c r="H198" s="15" t="s">
        <v>414</v>
      </c>
      <c r="I198" s="14" t="s">
        <v>82</v>
      </c>
      <c r="J198" s="16">
        <v>1278.22</v>
      </c>
      <c r="K198" s="16">
        <v>1278.22</v>
      </c>
      <c r="L198" s="16">
        <v>0.0</v>
      </c>
      <c r="M198" s="16">
        <v>1278.22</v>
      </c>
      <c r="N198" s="14" t="s">
        <v>83</v>
      </c>
      <c r="O198" s="15"/>
    </row>
    <row r="199" ht="15.0" customHeight="1">
      <c r="A199" s="13">
        <v>45948.0</v>
      </c>
      <c r="B199" s="14" t="s">
        <v>424</v>
      </c>
      <c r="C199" s="14" t="s">
        <v>370</v>
      </c>
      <c r="D199" s="14" t="s">
        <v>79</v>
      </c>
      <c r="E199" s="15" t="s">
        <v>425</v>
      </c>
      <c r="F199" s="15" t="s">
        <v>425</v>
      </c>
      <c r="G199" s="15" t="s">
        <v>50</v>
      </c>
      <c r="H199" s="15" t="s">
        <v>113</v>
      </c>
      <c r="I199" s="14" t="s">
        <v>82</v>
      </c>
      <c r="J199" s="16">
        <v>998.0</v>
      </c>
      <c r="K199" s="16">
        <v>998.0</v>
      </c>
      <c r="L199" s="16">
        <v>0.0</v>
      </c>
      <c r="M199" s="16">
        <v>998.0</v>
      </c>
      <c r="N199" s="14" t="s">
        <v>114</v>
      </c>
      <c r="O199" s="15" t="s">
        <v>212</v>
      </c>
    </row>
    <row r="200" ht="15.0" customHeight="1">
      <c r="A200" s="13">
        <v>45948.0</v>
      </c>
      <c r="B200" s="14" t="s">
        <v>426</v>
      </c>
      <c r="C200" s="14" t="s">
        <v>370</v>
      </c>
      <c r="D200" s="14" t="s">
        <v>79</v>
      </c>
      <c r="E200" s="15" t="s">
        <v>117</v>
      </c>
      <c r="F200" s="15" t="s">
        <v>44</v>
      </c>
      <c r="G200" s="15" t="s">
        <v>29</v>
      </c>
      <c r="H200" s="15" t="s">
        <v>118</v>
      </c>
      <c r="I200" s="14" t="s">
        <v>82</v>
      </c>
      <c r="J200" s="16">
        <v>680.0</v>
      </c>
      <c r="K200" s="16">
        <v>680.0</v>
      </c>
      <c r="L200" s="16">
        <v>0.0</v>
      </c>
      <c r="M200" s="16">
        <v>680.0</v>
      </c>
      <c r="N200" s="14" t="s">
        <v>83</v>
      </c>
      <c r="O200" s="15"/>
    </row>
    <row r="201" ht="15.75" customHeight="1">
      <c r="A201" s="13">
        <v>45948.0</v>
      </c>
      <c r="B201" s="14" t="s">
        <v>427</v>
      </c>
      <c r="C201" s="14" t="s">
        <v>370</v>
      </c>
      <c r="D201" s="14" t="s">
        <v>79</v>
      </c>
      <c r="E201" s="15" t="s">
        <v>276</v>
      </c>
      <c r="F201" s="15" t="s">
        <v>40</v>
      </c>
      <c r="G201" s="15" t="s">
        <v>21</v>
      </c>
      <c r="H201" s="15" t="s">
        <v>150</v>
      </c>
      <c r="I201" s="14" t="s">
        <v>82</v>
      </c>
      <c r="J201" s="16">
        <v>2398.0</v>
      </c>
      <c r="K201" s="16">
        <v>2398.0</v>
      </c>
      <c r="L201" s="16">
        <v>0.0</v>
      </c>
      <c r="M201" s="16">
        <v>2398.0</v>
      </c>
      <c r="N201" s="14" t="s">
        <v>97</v>
      </c>
      <c r="O201" s="15"/>
    </row>
    <row r="202" ht="15.75" customHeight="1">
      <c r="A202" s="13">
        <v>45949.0</v>
      </c>
      <c r="B202" s="14" t="s">
        <v>428</v>
      </c>
      <c r="C202" s="14" t="s">
        <v>370</v>
      </c>
      <c r="D202" s="14" t="s">
        <v>79</v>
      </c>
      <c r="E202" s="15" t="s">
        <v>429</v>
      </c>
      <c r="F202" s="15" t="s">
        <v>65</v>
      </c>
      <c r="G202" s="15" t="s">
        <v>52</v>
      </c>
      <c r="H202" s="15" t="s">
        <v>414</v>
      </c>
      <c r="I202" s="14" t="s">
        <v>82</v>
      </c>
      <c r="J202" s="16">
        <v>2816.97</v>
      </c>
      <c r="K202" s="16">
        <v>2816.97</v>
      </c>
      <c r="L202" s="16">
        <v>0.0</v>
      </c>
      <c r="M202" s="16">
        <v>2816.97</v>
      </c>
      <c r="N202" s="14" t="s">
        <v>83</v>
      </c>
      <c r="O202" s="15"/>
    </row>
    <row r="203" ht="15.75" customHeight="1">
      <c r="A203" s="13">
        <v>45949.0</v>
      </c>
      <c r="B203" s="14" t="s">
        <v>430</v>
      </c>
      <c r="C203" s="14" t="s">
        <v>370</v>
      </c>
      <c r="D203" s="14" t="s">
        <v>79</v>
      </c>
      <c r="E203" s="15" t="s">
        <v>303</v>
      </c>
      <c r="F203" s="15" t="s">
        <v>41</v>
      </c>
      <c r="G203" s="15" t="s">
        <v>18</v>
      </c>
      <c r="H203" s="15" t="s">
        <v>251</v>
      </c>
      <c r="I203" s="14" t="s">
        <v>82</v>
      </c>
      <c r="J203" s="16">
        <v>883.0</v>
      </c>
      <c r="K203" s="16">
        <v>883.0</v>
      </c>
      <c r="L203" s="16">
        <v>0.0</v>
      </c>
      <c r="M203" s="16">
        <v>883.0</v>
      </c>
      <c r="N203" s="14" t="s">
        <v>83</v>
      </c>
      <c r="O203" s="15"/>
    </row>
    <row r="204" ht="15.75" customHeight="1">
      <c r="A204" s="13">
        <v>45951.0</v>
      </c>
      <c r="B204" s="14" t="s">
        <v>431</v>
      </c>
      <c r="C204" s="14" t="s">
        <v>370</v>
      </c>
      <c r="D204" s="14" t="s">
        <v>79</v>
      </c>
      <c r="E204" s="15" t="s">
        <v>303</v>
      </c>
      <c r="F204" s="15" t="s">
        <v>41</v>
      </c>
      <c r="G204" s="15" t="s">
        <v>18</v>
      </c>
      <c r="H204" s="15" t="s">
        <v>251</v>
      </c>
      <c r="I204" s="14" t="s">
        <v>82</v>
      </c>
      <c r="J204" s="16">
        <v>1162.0</v>
      </c>
      <c r="K204" s="16">
        <v>1162.0</v>
      </c>
      <c r="L204" s="16">
        <v>0.0</v>
      </c>
      <c r="M204" s="16">
        <v>1162.0</v>
      </c>
      <c r="N204" s="14" t="s">
        <v>83</v>
      </c>
      <c r="O204" s="15"/>
    </row>
    <row r="205" ht="15.75" customHeight="1">
      <c r="A205" s="13">
        <v>45951.0</v>
      </c>
      <c r="B205" s="14" t="s">
        <v>432</v>
      </c>
      <c r="C205" s="14" t="s">
        <v>370</v>
      </c>
      <c r="D205" s="14" t="s">
        <v>79</v>
      </c>
      <c r="E205" s="15" t="s">
        <v>433</v>
      </c>
      <c r="F205" s="15" t="s">
        <v>55</v>
      </c>
      <c r="G205" s="15" t="s">
        <v>46</v>
      </c>
      <c r="H205" s="15" t="s">
        <v>178</v>
      </c>
      <c r="I205" s="14" t="s">
        <v>82</v>
      </c>
      <c r="J205" s="16">
        <v>5636.0</v>
      </c>
      <c r="K205" s="16">
        <v>5636.0</v>
      </c>
      <c r="L205" s="16">
        <v>0.0</v>
      </c>
      <c r="M205" s="16">
        <v>5636.0</v>
      </c>
      <c r="N205" s="14" t="s">
        <v>83</v>
      </c>
      <c r="O205" s="15"/>
    </row>
    <row r="206" ht="15.75" customHeight="1">
      <c r="A206" s="13">
        <v>45951.0</v>
      </c>
      <c r="B206" s="14" t="s">
        <v>434</v>
      </c>
      <c r="C206" s="14" t="s">
        <v>370</v>
      </c>
      <c r="D206" s="14" t="s">
        <v>79</v>
      </c>
      <c r="E206" s="15" t="s">
        <v>117</v>
      </c>
      <c r="F206" s="15" t="s">
        <v>44</v>
      </c>
      <c r="G206" s="15" t="s">
        <v>29</v>
      </c>
      <c r="H206" s="15" t="s">
        <v>118</v>
      </c>
      <c r="I206" s="14" t="s">
        <v>82</v>
      </c>
      <c r="J206" s="16">
        <v>481.0</v>
      </c>
      <c r="K206" s="16">
        <v>481.0</v>
      </c>
      <c r="L206" s="16">
        <v>0.0</v>
      </c>
      <c r="M206" s="16">
        <v>481.0</v>
      </c>
      <c r="N206" s="14" t="s">
        <v>83</v>
      </c>
      <c r="O206" s="15"/>
    </row>
    <row r="207" ht="15.75" customHeight="1">
      <c r="A207" s="13">
        <v>45952.0</v>
      </c>
      <c r="B207" s="14" t="s">
        <v>435</v>
      </c>
      <c r="C207" s="14" t="s">
        <v>370</v>
      </c>
      <c r="D207" s="14" t="s">
        <v>79</v>
      </c>
      <c r="E207" s="15" t="s">
        <v>436</v>
      </c>
      <c r="F207" s="15" t="s">
        <v>39</v>
      </c>
      <c r="G207" s="15" t="s">
        <v>15</v>
      </c>
      <c r="H207" s="15" t="s">
        <v>156</v>
      </c>
      <c r="I207" s="14" t="s">
        <v>82</v>
      </c>
      <c r="J207" s="16">
        <v>2111.0</v>
      </c>
      <c r="K207" s="16">
        <v>2111.0</v>
      </c>
      <c r="L207" s="16">
        <v>0.0</v>
      </c>
      <c r="M207" s="16">
        <v>2111.0</v>
      </c>
      <c r="N207" s="14" t="s">
        <v>83</v>
      </c>
      <c r="O207" s="15"/>
    </row>
    <row r="208" ht="15.75" customHeight="1">
      <c r="A208" s="13">
        <v>45952.0</v>
      </c>
      <c r="B208" s="14" t="s">
        <v>437</v>
      </c>
      <c r="C208" s="14" t="s">
        <v>370</v>
      </c>
      <c r="D208" s="14" t="s">
        <v>79</v>
      </c>
      <c r="E208" s="15" t="s">
        <v>303</v>
      </c>
      <c r="F208" s="15" t="s">
        <v>41</v>
      </c>
      <c r="G208" s="15" t="s">
        <v>18</v>
      </c>
      <c r="H208" s="15" t="s">
        <v>251</v>
      </c>
      <c r="I208" s="14" t="s">
        <v>82</v>
      </c>
      <c r="J208" s="16">
        <v>473.0</v>
      </c>
      <c r="K208" s="16">
        <v>473.0</v>
      </c>
      <c r="L208" s="16">
        <v>0.0</v>
      </c>
      <c r="M208" s="16">
        <v>473.0</v>
      </c>
      <c r="N208" s="14" t="s">
        <v>83</v>
      </c>
      <c r="O208" s="15"/>
    </row>
    <row r="209" ht="15.75" customHeight="1">
      <c r="A209" s="13">
        <v>45952.0</v>
      </c>
      <c r="B209" s="14" t="s">
        <v>438</v>
      </c>
      <c r="C209" s="14" t="s">
        <v>370</v>
      </c>
      <c r="D209" s="14" t="s">
        <v>79</v>
      </c>
      <c r="E209" s="15" t="s">
        <v>303</v>
      </c>
      <c r="F209" s="15" t="s">
        <v>41</v>
      </c>
      <c r="G209" s="15" t="s">
        <v>18</v>
      </c>
      <c r="H209" s="15" t="s">
        <v>251</v>
      </c>
      <c r="I209" s="14" t="s">
        <v>82</v>
      </c>
      <c r="J209" s="16">
        <v>765.0</v>
      </c>
      <c r="K209" s="16">
        <v>765.0</v>
      </c>
      <c r="L209" s="16">
        <v>0.0</v>
      </c>
      <c r="M209" s="16">
        <v>765.0</v>
      </c>
      <c r="N209" s="14" t="s">
        <v>83</v>
      </c>
      <c r="O209" s="15"/>
    </row>
    <row r="210" ht="15.75" customHeight="1">
      <c r="A210" s="13">
        <v>45952.0</v>
      </c>
      <c r="B210" s="14" t="s">
        <v>439</v>
      </c>
      <c r="C210" s="14" t="s">
        <v>370</v>
      </c>
      <c r="D210" s="14" t="s">
        <v>79</v>
      </c>
      <c r="E210" s="15" t="s">
        <v>436</v>
      </c>
      <c r="F210" s="15" t="s">
        <v>39</v>
      </c>
      <c r="G210" s="15" t="s">
        <v>15</v>
      </c>
      <c r="H210" s="15" t="s">
        <v>156</v>
      </c>
      <c r="I210" s="14" t="s">
        <v>82</v>
      </c>
      <c r="J210" s="16">
        <v>8502.13</v>
      </c>
      <c r="K210" s="16">
        <v>8502.13</v>
      </c>
      <c r="L210" s="16">
        <v>0.0</v>
      </c>
      <c r="M210" s="16">
        <v>8502.13</v>
      </c>
      <c r="N210" s="14" t="s">
        <v>83</v>
      </c>
      <c r="O210" s="15"/>
    </row>
    <row r="211" ht="15.75" customHeight="1">
      <c r="A211" s="13">
        <v>45926.0</v>
      </c>
      <c r="B211" s="14" t="s">
        <v>440</v>
      </c>
      <c r="C211" s="14" t="s">
        <v>370</v>
      </c>
      <c r="D211" s="14" t="s">
        <v>126</v>
      </c>
      <c r="E211" s="15" t="s">
        <v>209</v>
      </c>
      <c r="F211" s="15" t="s">
        <v>42</v>
      </c>
      <c r="G211" s="15" t="s">
        <v>18</v>
      </c>
      <c r="H211" s="15" t="s">
        <v>128</v>
      </c>
      <c r="I211" s="14" t="s">
        <v>82</v>
      </c>
      <c r="J211" s="16">
        <v>779.0</v>
      </c>
      <c r="K211" s="16">
        <v>779.0</v>
      </c>
      <c r="L211" s="16">
        <v>0.0</v>
      </c>
      <c r="M211" s="16">
        <v>779.0</v>
      </c>
      <c r="N211" s="14" t="s">
        <v>83</v>
      </c>
      <c r="O211" s="15"/>
    </row>
    <row r="212" ht="15.75" customHeight="1">
      <c r="A212" s="13">
        <v>45926.0</v>
      </c>
      <c r="B212" s="14" t="s">
        <v>441</v>
      </c>
      <c r="C212" s="14" t="s">
        <v>370</v>
      </c>
      <c r="D212" s="14" t="s">
        <v>126</v>
      </c>
      <c r="E212" s="15" t="s">
        <v>442</v>
      </c>
      <c r="F212" s="15" t="s">
        <v>65</v>
      </c>
      <c r="G212" s="15" t="s">
        <v>52</v>
      </c>
      <c r="H212" s="15" t="s">
        <v>414</v>
      </c>
      <c r="I212" s="14" t="s">
        <v>82</v>
      </c>
      <c r="J212" s="16">
        <v>3628.0</v>
      </c>
      <c r="K212" s="16">
        <v>3628.0</v>
      </c>
      <c r="L212" s="16">
        <v>0.0</v>
      </c>
      <c r="M212" s="16">
        <v>3628.0</v>
      </c>
      <c r="N212" s="14" t="s">
        <v>83</v>
      </c>
      <c r="O212" s="15"/>
    </row>
    <row r="213" ht="15.75" customHeight="1">
      <c r="A213" s="13">
        <v>45948.0</v>
      </c>
      <c r="B213" s="14" t="s">
        <v>443</v>
      </c>
      <c r="C213" s="14" t="s">
        <v>370</v>
      </c>
      <c r="D213" s="14" t="s">
        <v>126</v>
      </c>
      <c r="E213" s="15" t="s">
        <v>168</v>
      </c>
      <c r="F213" s="15" t="s">
        <v>44</v>
      </c>
      <c r="G213" s="15" t="s">
        <v>29</v>
      </c>
      <c r="H213" s="15" t="s">
        <v>118</v>
      </c>
      <c r="I213" s="14" t="s">
        <v>82</v>
      </c>
      <c r="J213" s="16">
        <v>4350.0</v>
      </c>
      <c r="K213" s="16">
        <v>4350.0</v>
      </c>
      <c r="L213" s="16">
        <v>0.0</v>
      </c>
      <c r="M213" s="16">
        <v>4350.0</v>
      </c>
      <c r="N213" s="14" t="s">
        <v>83</v>
      </c>
      <c r="O213" s="15"/>
    </row>
    <row r="214" ht="15.75" customHeight="1">
      <c r="A214" s="13">
        <v>45954.0</v>
      </c>
      <c r="B214" s="14" t="s">
        <v>444</v>
      </c>
      <c r="C214" s="14" t="s">
        <v>445</v>
      </c>
      <c r="D214" s="14" t="s">
        <v>79</v>
      </c>
      <c r="E214" s="15" t="s">
        <v>303</v>
      </c>
      <c r="F214" s="15" t="s">
        <v>41</v>
      </c>
      <c r="G214" s="15" t="s">
        <v>18</v>
      </c>
      <c r="H214" s="15" t="s">
        <v>251</v>
      </c>
      <c r="I214" s="14" t="s">
        <v>82</v>
      </c>
      <c r="J214" s="16">
        <v>529.0</v>
      </c>
      <c r="K214" s="16">
        <v>529.0</v>
      </c>
      <c r="L214" s="16">
        <v>0.0</v>
      </c>
      <c r="M214" s="16">
        <v>529.0</v>
      </c>
      <c r="N214" s="14" t="s">
        <v>83</v>
      </c>
      <c r="O214" s="15"/>
    </row>
    <row r="215" ht="15.75" customHeight="1">
      <c r="A215" s="13">
        <v>45955.0</v>
      </c>
      <c r="B215" s="14" t="s">
        <v>446</v>
      </c>
      <c r="C215" s="14" t="s">
        <v>445</v>
      </c>
      <c r="D215" s="14" t="s">
        <v>79</v>
      </c>
      <c r="E215" s="15" t="s">
        <v>247</v>
      </c>
      <c r="F215" s="15" t="s">
        <v>45</v>
      </c>
      <c r="G215" s="15" t="s">
        <v>15</v>
      </c>
      <c r="H215" s="15" t="s">
        <v>248</v>
      </c>
      <c r="I215" s="14" t="s">
        <v>82</v>
      </c>
      <c r="J215" s="16">
        <v>1930.72</v>
      </c>
      <c r="K215" s="16">
        <v>1930.72</v>
      </c>
      <c r="L215" s="16">
        <v>0.0</v>
      </c>
      <c r="M215" s="16">
        <v>1930.72</v>
      </c>
      <c r="N215" s="14" t="s">
        <v>83</v>
      </c>
      <c r="O215" s="15"/>
    </row>
    <row r="216" ht="15.75" customHeight="1">
      <c r="A216" s="13">
        <v>45955.0</v>
      </c>
      <c r="B216" s="14" t="s">
        <v>447</v>
      </c>
      <c r="C216" s="14" t="s">
        <v>445</v>
      </c>
      <c r="D216" s="14" t="s">
        <v>79</v>
      </c>
      <c r="E216" s="15" t="s">
        <v>247</v>
      </c>
      <c r="F216" s="15" t="s">
        <v>45</v>
      </c>
      <c r="G216" s="15" t="s">
        <v>15</v>
      </c>
      <c r="H216" s="15" t="s">
        <v>248</v>
      </c>
      <c r="I216" s="14" t="s">
        <v>82</v>
      </c>
      <c r="J216" s="16">
        <v>3300.92</v>
      </c>
      <c r="K216" s="16">
        <v>3300.92</v>
      </c>
      <c r="L216" s="16">
        <v>0.0</v>
      </c>
      <c r="M216" s="16">
        <v>3300.92</v>
      </c>
      <c r="N216" s="14" t="s">
        <v>83</v>
      </c>
      <c r="O216" s="15"/>
    </row>
    <row r="217" ht="15.75" customHeight="1">
      <c r="A217" s="13">
        <v>45955.0</v>
      </c>
      <c r="B217" s="14" t="s">
        <v>448</v>
      </c>
      <c r="C217" s="14" t="s">
        <v>445</v>
      </c>
      <c r="D217" s="14" t="s">
        <v>79</v>
      </c>
      <c r="E217" s="15" t="s">
        <v>449</v>
      </c>
      <c r="F217" s="15" t="s">
        <v>40</v>
      </c>
      <c r="G217" s="15" t="s">
        <v>21</v>
      </c>
      <c r="H217" s="15" t="s">
        <v>150</v>
      </c>
      <c r="I217" s="14" t="s">
        <v>82</v>
      </c>
      <c r="J217" s="16">
        <v>2293.3</v>
      </c>
      <c r="K217" s="16">
        <v>2293.3</v>
      </c>
      <c r="L217" s="16">
        <v>0.0</v>
      </c>
      <c r="M217" s="16">
        <v>2293.3</v>
      </c>
      <c r="N217" s="14" t="s">
        <v>83</v>
      </c>
      <c r="O217" s="15"/>
    </row>
    <row r="218" ht="15.75" customHeight="1">
      <c r="A218" s="13">
        <v>45955.0</v>
      </c>
      <c r="B218" s="14" t="s">
        <v>450</v>
      </c>
      <c r="C218" s="14" t="s">
        <v>445</v>
      </c>
      <c r="D218" s="14" t="s">
        <v>79</v>
      </c>
      <c r="E218" s="15" t="s">
        <v>449</v>
      </c>
      <c r="F218" s="15" t="s">
        <v>40</v>
      </c>
      <c r="G218" s="15" t="s">
        <v>21</v>
      </c>
      <c r="H218" s="15" t="s">
        <v>150</v>
      </c>
      <c r="I218" s="14" t="s">
        <v>82</v>
      </c>
      <c r="J218" s="16">
        <v>1249.0</v>
      </c>
      <c r="K218" s="16">
        <v>1249.0</v>
      </c>
      <c r="L218" s="16">
        <v>0.0</v>
      </c>
      <c r="M218" s="16">
        <v>1249.0</v>
      </c>
      <c r="N218" s="14" t="s">
        <v>83</v>
      </c>
      <c r="O218" s="15"/>
    </row>
    <row r="219" ht="15.75" customHeight="1">
      <c r="A219" s="13">
        <v>45956.0</v>
      </c>
      <c r="B219" s="14" t="s">
        <v>451</v>
      </c>
      <c r="C219" s="14" t="s">
        <v>445</v>
      </c>
      <c r="D219" s="14" t="s">
        <v>79</v>
      </c>
      <c r="E219" s="15" t="s">
        <v>303</v>
      </c>
      <c r="F219" s="15" t="s">
        <v>41</v>
      </c>
      <c r="G219" s="15" t="s">
        <v>18</v>
      </c>
      <c r="H219" s="15" t="s">
        <v>251</v>
      </c>
      <c r="I219" s="14" t="s">
        <v>82</v>
      </c>
      <c r="J219" s="16">
        <v>435.0</v>
      </c>
      <c r="K219" s="16">
        <v>435.0</v>
      </c>
      <c r="L219" s="16">
        <v>0.0</v>
      </c>
      <c r="M219" s="16">
        <v>435.0</v>
      </c>
      <c r="N219" s="14" t="s">
        <v>83</v>
      </c>
      <c r="O219" s="15"/>
    </row>
    <row r="220" ht="15.75" customHeight="1">
      <c r="A220" s="13">
        <v>45956.0</v>
      </c>
      <c r="B220" s="14" t="s">
        <v>452</v>
      </c>
      <c r="C220" s="14" t="s">
        <v>445</v>
      </c>
      <c r="D220" s="14" t="s">
        <v>79</v>
      </c>
      <c r="E220" s="15" t="s">
        <v>303</v>
      </c>
      <c r="F220" s="15" t="s">
        <v>41</v>
      </c>
      <c r="G220" s="15" t="s">
        <v>18</v>
      </c>
      <c r="H220" s="15" t="s">
        <v>251</v>
      </c>
      <c r="I220" s="14" t="s">
        <v>82</v>
      </c>
      <c r="J220" s="16">
        <v>1410.0</v>
      </c>
      <c r="K220" s="16">
        <v>1410.0</v>
      </c>
      <c r="L220" s="16">
        <v>0.0</v>
      </c>
      <c r="M220" s="16">
        <v>1410.0</v>
      </c>
      <c r="N220" s="14" t="s">
        <v>83</v>
      </c>
      <c r="O220" s="15"/>
    </row>
    <row r="221" ht="15.75" customHeight="1">
      <c r="A221" s="13">
        <v>45956.0</v>
      </c>
      <c r="B221" s="14" t="s">
        <v>453</v>
      </c>
      <c r="C221" s="14" t="s">
        <v>445</v>
      </c>
      <c r="D221" s="14" t="s">
        <v>79</v>
      </c>
      <c r="E221" s="15" t="s">
        <v>168</v>
      </c>
      <c r="F221" s="15" t="s">
        <v>44</v>
      </c>
      <c r="G221" s="15" t="s">
        <v>29</v>
      </c>
      <c r="H221" s="15" t="s">
        <v>118</v>
      </c>
      <c r="I221" s="14" t="s">
        <v>82</v>
      </c>
      <c r="J221" s="16">
        <v>3951.0</v>
      </c>
      <c r="K221" s="16">
        <v>3951.0</v>
      </c>
      <c r="L221" s="16">
        <v>0.0</v>
      </c>
      <c r="M221" s="16">
        <v>3951.0</v>
      </c>
      <c r="N221" s="14" t="s">
        <v>83</v>
      </c>
      <c r="O221" s="15"/>
    </row>
    <row r="222" ht="15.75" customHeight="1">
      <c r="A222" s="13">
        <v>45956.0</v>
      </c>
      <c r="B222" s="14" t="s">
        <v>454</v>
      </c>
      <c r="C222" s="14" t="s">
        <v>445</v>
      </c>
      <c r="D222" s="14" t="s">
        <v>79</v>
      </c>
      <c r="E222" s="15" t="s">
        <v>209</v>
      </c>
      <c r="F222" s="15" t="s">
        <v>42</v>
      </c>
      <c r="G222" s="15" t="s">
        <v>18</v>
      </c>
      <c r="H222" s="15" t="s">
        <v>128</v>
      </c>
      <c r="I222" s="14" t="s">
        <v>82</v>
      </c>
      <c r="J222" s="16">
        <v>2535.0</v>
      </c>
      <c r="K222" s="16">
        <v>2535.0</v>
      </c>
      <c r="L222" s="16">
        <v>0.0</v>
      </c>
      <c r="M222" s="16">
        <v>2535.0</v>
      </c>
      <c r="N222" s="14" t="s">
        <v>83</v>
      </c>
      <c r="O222" s="15"/>
    </row>
    <row r="223" ht="15.75" customHeight="1">
      <c r="A223" s="13">
        <v>45956.0</v>
      </c>
      <c r="B223" s="14" t="s">
        <v>455</v>
      </c>
      <c r="C223" s="14" t="s">
        <v>445</v>
      </c>
      <c r="D223" s="14" t="s">
        <v>79</v>
      </c>
      <c r="E223" s="15" t="s">
        <v>303</v>
      </c>
      <c r="F223" s="15" t="s">
        <v>41</v>
      </c>
      <c r="G223" s="15" t="s">
        <v>18</v>
      </c>
      <c r="H223" s="15" t="s">
        <v>251</v>
      </c>
      <c r="I223" s="14" t="s">
        <v>82</v>
      </c>
      <c r="J223" s="16">
        <v>2955.0</v>
      </c>
      <c r="K223" s="16">
        <v>2955.0</v>
      </c>
      <c r="L223" s="16">
        <v>0.0</v>
      </c>
      <c r="M223" s="16">
        <v>2955.0</v>
      </c>
      <c r="N223" s="14" t="s">
        <v>83</v>
      </c>
      <c r="O223" s="15"/>
    </row>
    <row r="224" ht="15.75" customHeight="1">
      <c r="A224" s="13">
        <v>45957.0</v>
      </c>
      <c r="B224" s="14"/>
      <c r="C224" s="14" t="s">
        <v>445</v>
      </c>
      <c r="D224" s="14" t="s">
        <v>79</v>
      </c>
      <c r="E224" s="15" t="s">
        <v>247</v>
      </c>
      <c r="F224" s="15" t="s">
        <v>45</v>
      </c>
      <c r="G224" s="15" t="s">
        <v>15</v>
      </c>
      <c r="H224" s="15" t="s">
        <v>248</v>
      </c>
      <c r="I224" s="14" t="s">
        <v>175</v>
      </c>
      <c r="J224" s="16">
        <v>-668.33</v>
      </c>
      <c r="K224" s="16">
        <v>0.0</v>
      </c>
      <c r="L224" s="16">
        <v>668.33</v>
      </c>
      <c r="M224" s="16">
        <v>-668.33</v>
      </c>
      <c r="N224" s="14" t="s">
        <v>83</v>
      </c>
      <c r="O224" s="15"/>
    </row>
    <row r="225" ht="15.75" customHeight="1">
      <c r="A225" s="13">
        <v>45958.0</v>
      </c>
      <c r="B225" s="14" t="s">
        <v>456</v>
      </c>
      <c r="C225" s="14" t="s">
        <v>445</v>
      </c>
      <c r="D225" s="14" t="s">
        <v>79</v>
      </c>
      <c r="E225" s="15" t="s">
        <v>117</v>
      </c>
      <c r="F225" s="15" t="s">
        <v>44</v>
      </c>
      <c r="G225" s="15" t="s">
        <v>29</v>
      </c>
      <c r="H225" s="15" t="s">
        <v>118</v>
      </c>
      <c r="I225" s="14" t="s">
        <v>82</v>
      </c>
      <c r="J225" s="16">
        <v>427.0</v>
      </c>
      <c r="K225" s="16">
        <v>427.0</v>
      </c>
      <c r="L225" s="16">
        <v>0.0</v>
      </c>
      <c r="M225" s="16">
        <v>427.0</v>
      </c>
      <c r="N225" s="14" t="s">
        <v>83</v>
      </c>
      <c r="O225" s="15"/>
    </row>
    <row r="226" ht="15.75" customHeight="1">
      <c r="A226" s="13">
        <v>45958.0</v>
      </c>
      <c r="B226" s="14"/>
      <c r="C226" s="14" t="s">
        <v>445</v>
      </c>
      <c r="D226" s="14" t="s">
        <v>79</v>
      </c>
      <c r="E226" s="15" t="s">
        <v>247</v>
      </c>
      <c r="F226" s="15" t="s">
        <v>45</v>
      </c>
      <c r="G226" s="15" t="s">
        <v>15</v>
      </c>
      <c r="H226" s="15" t="s">
        <v>248</v>
      </c>
      <c r="I226" s="14" t="s">
        <v>175</v>
      </c>
      <c r="J226" s="16">
        <v>-36.86</v>
      </c>
      <c r="K226" s="16">
        <v>0.0</v>
      </c>
      <c r="L226" s="16">
        <v>36.86</v>
      </c>
      <c r="M226" s="16">
        <v>-36.86</v>
      </c>
      <c r="N226" s="14" t="s">
        <v>83</v>
      </c>
      <c r="O226" s="15"/>
    </row>
    <row r="227" ht="15.75" customHeight="1">
      <c r="A227" s="13">
        <v>45961.0</v>
      </c>
      <c r="B227" s="14" t="s">
        <v>457</v>
      </c>
      <c r="C227" s="14" t="s">
        <v>445</v>
      </c>
      <c r="D227" s="14" t="s">
        <v>79</v>
      </c>
      <c r="E227" s="15" t="s">
        <v>227</v>
      </c>
      <c r="F227" s="15" t="s">
        <v>38</v>
      </c>
      <c r="G227" s="15" t="s">
        <v>12</v>
      </c>
      <c r="H227" s="15" t="s">
        <v>225</v>
      </c>
      <c r="I227" s="14" t="s">
        <v>82</v>
      </c>
      <c r="J227" s="16">
        <v>76491.0</v>
      </c>
      <c r="K227" s="16">
        <v>76491.0</v>
      </c>
      <c r="L227" s="16">
        <v>0.0</v>
      </c>
      <c r="M227" s="16">
        <v>76491.0</v>
      </c>
      <c r="N227" s="14" t="s">
        <v>83</v>
      </c>
      <c r="O227" s="15" t="s">
        <v>228</v>
      </c>
    </row>
    <row r="228" ht="15.75" customHeight="1">
      <c r="A228" s="13">
        <v>45961.0</v>
      </c>
      <c r="B228" s="14" t="s">
        <v>458</v>
      </c>
      <c r="C228" s="14" t="s">
        <v>445</v>
      </c>
      <c r="D228" s="14" t="s">
        <v>79</v>
      </c>
      <c r="E228" s="15" t="s">
        <v>459</v>
      </c>
      <c r="F228" s="15" t="s">
        <v>41</v>
      </c>
      <c r="G228" s="15" t="s">
        <v>18</v>
      </c>
      <c r="H228" s="15" t="s">
        <v>251</v>
      </c>
      <c r="I228" s="14" t="s">
        <v>82</v>
      </c>
      <c r="J228" s="16">
        <v>2057.65</v>
      </c>
      <c r="K228" s="16">
        <v>2057.65</v>
      </c>
      <c r="L228" s="16">
        <v>0.0</v>
      </c>
      <c r="M228" s="16">
        <v>2057.65</v>
      </c>
      <c r="N228" s="14" t="s">
        <v>83</v>
      </c>
      <c r="O228" s="15"/>
    </row>
    <row r="229" ht="15.75" customHeight="1">
      <c r="A229" s="13">
        <v>45961.0</v>
      </c>
      <c r="B229" s="14" t="s">
        <v>460</v>
      </c>
      <c r="C229" s="14" t="s">
        <v>445</v>
      </c>
      <c r="D229" s="14" t="s">
        <v>79</v>
      </c>
      <c r="E229" s="15" t="s">
        <v>461</v>
      </c>
      <c r="F229" s="15" t="s">
        <v>41</v>
      </c>
      <c r="G229" s="15" t="s">
        <v>18</v>
      </c>
      <c r="H229" s="15" t="s">
        <v>251</v>
      </c>
      <c r="I229" s="14" t="s">
        <v>82</v>
      </c>
      <c r="J229" s="16">
        <v>227.0</v>
      </c>
      <c r="K229" s="16">
        <v>227.0</v>
      </c>
      <c r="L229" s="16">
        <v>0.0</v>
      </c>
      <c r="M229" s="16">
        <v>227.0</v>
      </c>
      <c r="N229" s="14" t="s">
        <v>83</v>
      </c>
      <c r="O229" s="15"/>
    </row>
    <row r="230" ht="15.75" customHeight="1">
      <c r="A230" s="13">
        <v>45962.0</v>
      </c>
      <c r="B230" s="14" t="s">
        <v>462</v>
      </c>
      <c r="C230" s="14" t="s">
        <v>445</v>
      </c>
      <c r="D230" s="14" t="s">
        <v>79</v>
      </c>
      <c r="E230" s="15" t="s">
        <v>285</v>
      </c>
      <c r="F230" s="15" t="s">
        <v>51</v>
      </c>
      <c r="G230" s="15" t="s">
        <v>30</v>
      </c>
      <c r="H230" s="15" t="s">
        <v>81</v>
      </c>
      <c r="I230" s="14" t="s">
        <v>82</v>
      </c>
      <c r="J230" s="16">
        <v>649.0</v>
      </c>
      <c r="K230" s="16">
        <v>649.0</v>
      </c>
      <c r="L230" s="16">
        <v>0.0</v>
      </c>
      <c r="M230" s="16">
        <v>649.0</v>
      </c>
      <c r="N230" s="14" t="s">
        <v>83</v>
      </c>
      <c r="O230" s="15"/>
    </row>
    <row r="231" ht="15.75" customHeight="1">
      <c r="A231" s="13">
        <v>45962.0</v>
      </c>
      <c r="B231" s="14" t="s">
        <v>463</v>
      </c>
      <c r="C231" s="14" t="s">
        <v>445</v>
      </c>
      <c r="D231" s="14" t="s">
        <v>79</v>
      </c>
      <c r="E231" s="15" t="s">
        <v>303</v>
      </c>
      <c r="F231" s="15" t="s">
        <v>41</v>
      </c>
      <c r="G231" s="15" t="s">
        <v>18</v>
      </c>
      <c r="H231" s="15" t="s">
        <v>251</v>
      </c>
      <c r="I231" s="14" t="s">
        <v>82</v>
      </c>
      <c r="J231" s="16">
        <v>710.0</v>
      </c>
      <c r="K231" s="16">
        <v>710.0</v>
      </c>
      <c r="L231" s="16">
        <v>0.0</v>
      </c>
      <c r="M231" s="16">
        <v>710.0</v>
      </c>
      <c r="N231" s="14" t="s">
        <v>83</v>
      </c>
      <c r="O231" s="15"/>
    </row>
    <row r="232" ht="15.75" customHeight="1">
      <c r="A232" s="13">
        <v>45962.0</v>
      </c>
      <c r="B232" s="14" t="s">
        <v>464</v>
      </c>
      <c r="C232" s="14" t="s">
        <v>445</v>
      </c>
      <c r="D232" s="14" t="s">
        <v>79</v>
      </c>
      <c r="E232" s="15" t="s">
        <v>461</v>
      </c>
      <c r="F232" s="15" t="s">
        <v>41</v>
      </c>
      <c r="G232" s="15" t="s">
        <v>18</v>
      </c>
      <c r="H232" s="15" t="s">
        <v>251</v>
      </c>
      <c r="I232" s="14" t="s">
        <v>82</v>
      </c>
      <c r="J232" s="16">
        <v>229.0</v>
      </c>
      <c r="K232" s="16">
        <v>229.0</v>
      </c>
      <c r="L232" s="16">
        <v>0.0</v>
      </c>
      <c r="M232" s="16">
        <v>229.0</v>
      </c>
      <c r="N232" s="14" t="s">
        <v>83</v>
      </c>
      <c r="O232" s="15"/>
    </row>
    <row r="233" ht="15.75" customHeight="1">
      <c r="A233" s="13">
        <v>45962.0</v>
      </c>
      <c r="B233" s="14" t="s">
        <v>465</v>
      </c>
      <c r="C233" s="14" t="s">
        <v>445</v>
      </c>
      <c r="D233" s="14" t="s">
        <v>79</v>
      </c>
      <c r="E233" s="15" t="s">
        <v>466</v>
      </c>
      <c r="F233" s="15" t="s">
        <v>45</v>
      </c>
      <c r="G233" s="15" t="s">
        <v>15</v>
      </c>
      <c r="H233" s="15" t="s">
        <v>248</v>
      </c>
      <c r="I233" s="14" t="s">
        <v>82</v>
      </c>
      <c r="J233" s="16">
        <v>2668.0</v>
      </c>
      <c r="K233" s="16">
        <v>2668.0</v>
      </c>
      <c r="L233" s="16">
        <v>0.0</v>
      </c>
      <c r="M233" s="16">
        <v>2668.0</v>
      </c>
      <c r="N233" s="14" t="s">
        <v>83</v>
      </c>
      <c r="O233" s="15"/>
    </row>
    <row r="234" ht="15.75" customHeight="1">
      <c r="A234" s="13">
        <v>45962.0</v>
      </c>
      <c r="B234" s="14" t="s">
        <v>467</v>
      </c>
      <c r="C234" s="14" t="s">
        <v>445</v>
      </c>
      <c r="D234" s="14" t="s">
        <v>79</v>
      </c>
      <c r="E234" s="15" t="s">
        <v>468</v>
      </c>
      <c r="F234" s="15" t="s">
        <v>40</v>
      </c>
      <c r="G234" s="15" t="s">
        <v>21</v>
      </c>
      <c r="H234" s="15" t="s">
        <v>150</v>
      </c>
      <c r="I234" s="14" t="s">
        <v>82</v>
      </c>
      <c r="J234" s="16">
        <v>3595.0</v>
      </c>
      <c r="K234" s="16">
        <v>3595.0</v>
      </c>
      <c r="L234" s="16">
        <v>0.0</v>
      </c>
      <c r="M234" s="16">
        <v>3595.0</v>
      </c>
      <c r="N234" s="14" t="s">
        <v>83</v>
      </c>
      <c r="O234" s="15"/>
    </row>
    <row r="235" ht="15.75" customHeight="1">
      <c r="A235" s="13">
        <v>45963.0</v>
      </c>
      <c r="B235" s="14" t="s">
        <v>469</v>
      </c>
      <c r="C235" s="14" t="s">
        <v>445</v>
      </c>
      <c r="D235" s="14" t="s">
        <v>79</v>
      </c>
      <c r="E235" s="15" t="s">
        <v>303</v>
      </c>
      <c r="F235" s="15" t="s">
        <v>41</v>
      </c>
      <c r="G235" s="15" t="s">
        <v>18</v>
      </c>
      <c r="H235" s="15" t="s">
        <v>251</v>
      </c>
      <c r="I235" s="14" t="s">
        <v>82</v>
      </c>
      <c r="J235" s="16">
        <v>487.0</v>
      </c>
      <c r="K235" s="16">
        <v>487.0</v>
      </c>
      <c r="L235" s="16">
        <v>0.0</v>
      </c>
      <c r="M235" s="16">
        <v>487.0</v>
      </c>
      <c r="N235" s="14" t="s">
        <v>83</v>
      </c>
      <c r="O235" s="15"/>
    </row>
    <row r="236" ht="15.75" customHeight="1">
      <c r="A236" s="13">
        <v>45964.0</v>
      </c>
      <c r="B236" s="14" t="s">
        <v>470</v>
      </c>
      <c r="C236" s="14" t="s">
        <v>445</v>
      </c>
      <c r="D236" s="14" t="s">
        <v>79</v>
      </c>
      <c r="E236" s="15" t="s">
        <v>317</v>
      </c>
      <c r="F236" s="15" t="s">
        <v>41</v>
      </c>
      <c r="G236" s="15" t="s">
        <v>18</v>
      </c>
      <c r="H236" s="15" t="s">
        <v>251</v>
      </c>
      <c r="I236" s="14" t="s">
        <v>82</v>
      </c>
      <c r="J236" s="16">
        <v>4363.0</v>
      </c>
      <c r="K236" s="16">
        <v>4363.0</v>
      </c>
      <c r="L236" s="16">
        <v>0.0</v>
      </c>
      <c r="M236" s="16">
        <v>4363.0</v>
      </c>
      <c r="N236" s="14" t="s">
        <v>83</v>
      </c>
      <c r="O236" s="15"/>
    </row>
    <row r="237" ht="15.75" customHeight="1">
      <c r="A237" s="13">
        <v>45964.0</v>
      </c>
      <c r="B237" s="14" t="s">
        <v>471</v>
      </c>
      <c r="C237" s="14" t="s">
        <v>445</v>
      </c>
      <c r="D237" s="14" t="s">
        <v>79</v>
      </c>
      <c r="E237" s="15" t="s">
        <v>332</v>
      </c>
      <c r="F237" s="15" t="s">
        <v>41</v>
      </c>
      <c r="G237" s="15" t="s">
        <v>18</v>
      </c>
      <c r="H237" s="15" t="s">
        <v>251</v>
      </c>
      <c r="I237" s="14" t="s">
        <v>82</v>
      </c>
      <c r="J237" s="16">
        <v>3401.0</v>
      </c>
      <c r="K237" s="16">
        <v>3401.0</v>
      </c>
      <c r="L237" s="16">
        <v>0.0</v>
      </c>
      <c r="M237" s="16">
        <v>3401.0</v>
      </c>
      <c r="N237" s="14" t="s">
        <v>83</v>
      </c>
      <c r="O237" s="15"/>
    </row>
    <row r="238" ht="15.75" customHeight="1">
      <c r="A238" s="13">
        <v>45965.0</v>
      </c>
      <c r="B238" s="14" t="s">
        <v>472</v>
      </c>
      <c r="C238" s="14" t="s">
        <v>445</v>
      </c>
      <c r="D238" s="14" t="s">
        <v>79</v>
      </c>
      <c r="E238" s="15" t="s">
        <v>473</v>
      </c>
      <c r="F238" s="15" t="s">
        <v>41</v>
      </c>
      <c r="G238" s="15" t="s">
        <v>18</v>
      </c>
      <c r="H238" s="15" t="s">
        <v>251</v>
      </c>
      <c r="I238" s="14" t="s">
        <v>82</v>
      </c>
      <c r="J238" s="16">
        <v>883.0</v>
      </c>
      <c r="K238" s="16">
        <v>883.0</v>
      </c>
      <c r="L238" s="16">
        <v>0.0</v>
      </c>
      <c r="M238" s="16">
        <v>883.0</v>
      </c>
      <c r="N238" s="14" t="s">
        <v>83</v>
      </c>
      <c r="O238" s="15"/>
    </row>
    <row r="239" ht="15.75" customHeight="1">
      <c r="A239" s="13">
        <v>45965.0</v>
      </c>
      <c r="B239" s="14" t="s">
        <v>474</v>
      </c>
      <c r="C239" s="14" t="s">
        <v>445</v>
      </c>
      <c r="D239" s="14" t="s">
        <v>79</v>
      </c>
      <c r="E239" s="15" t="s">
        <v>209</v>
      </c>
      <c r="F239" s="15" t="s">
        <v>42</v>
      </c>
      <c r="G239" s="15" t="s">
        <v>18</v>
      </c>
      <c r="H239" s="15" t="s">
        <v>128</v>
      </c>
      <c r="I239" s="14" t="s">
        <v>82</v>
      </c>
      <c r="J239" s="16">
        <v>1150.0</v>
      </c>
      <c r="K239" s="16">
        <v>1150.0</v>
      </c>
      <c r="L239" s="16">
        <v>0.0</v>
      </c>
      <c r="M239" s="16">
        <v>1150.0</v>
      </c>
      <c r="N239" s="14" t="s">
        <v>83</v>
      </c>
      <c r="O239" s="15"/>
    </row>
    <row r="240" ht="15.75" customHeight="1">
      <c r="A240" s="13">
        <v>45966.0</v>
      </c>
      <c r="B240" s="14" t="s">
        <v>204</v>
      </c>
      <c r="C240" s="14" t="s">
        <v>445</v>
      </c>
      <c r="D240" s="14" t="s">
        <v>79</v>
      </c>
      <c r="E240" s="15" t="s">
        <v>292</v>
      </c>
      <c r="F240" s="15" t="s">
        <v>51</v>
      </c>
      <c r="G240" s="15" t="s">
        <v>30</v>
      </c>
      <c r="H240" s="15" t="s">
        <v>81</v>
      </c>
      <c r="I240" s="14" t="s">
        <v>82</v>
      </c>
      <c r="J240" s="16">
        <v>299.0</v>
      </c>
      <c r="K240" s="16">
        <v>299.0</v>
      </c>
      <c r="L240" s="16">
        <v>0.0</v>
      </c>
      <c r="M240" s="16">
        <v>299.0</v>
      </c>
      <c r="N240" s="14" t="s">
        <v>83</v>
      </c>
      <c r="O240" s="15"/>
    </row>
    <row r="241" ht="15.75" customHeight="1">
      <c r="A241" s="13">
        <v>45968.0</v>
      </c>
      <c r="B241" s="14" t="s">
        <v>475</v>
      </c>
      <c r="C241" s="14" t="s">
        <v>445</v>
      </c>
      <c r="D241" s="14" t="s">
        <v>79</v>
      </c>
      <c r="E241" s="15" t="s">
        <v>423</v>
      </c>
      <c r="F241" s="15" t="s">
        <v>65</v>
      </c>
      <c r="G241" s="15" t="s">
        <v>52</v>
      </c>
      <c r="H241" s="15" t="s">
        <v>414</v>
      </c>
      <c r="I241" s="14" t="s">
        <v>82</v>
      </c>
      <c r="J241" s="16">
        <v>1202.03</v>
      </c>
      <c r="K241" s="16">
        <v>1202.03</v>
      </c>
      <c r="L241" s="16">
        <v>0.0</v>
      </c>
      <c r="M241" s="16">
        <v>1202.03</v>
      </c>
      <c r="N241" s="14" t="s">
        <v>83</v>
      </c>
      <c r="O241" s="15"/>
    </row>
    <row r="242" ht="15.75" customHeight="1">
      <c r="A242" s="13">
        <v>45968.0</v>
      </c>
      <c r="B242" s="14" t="s">
        <v>476</v>
      </c>
      <c r="C242" s="14" t="s">
        <v>445</v>
      </c>
      <c r="D242" s="14" t="s">
        <v>79</v>
      </c>
      <c r="E242" s="15" t="s">
        <v>378</v>
      </c>
      <c r="F242" s="15" t="s">
        <v>41</v>
      </c>
      <c r="G242" s="15" t="s">
        <v>18</v>
      </c>
      <c r="H242" s="15" t="s">
        <v>251</v>
      </c>
      <c r="I242" s="14" t="s">
        <v>82</v>
      </c>
      <c r="J242" s="16">
        <v>648.0</v>
      </c>
      <c r="K242" s="16">
        <v>648.0</v>
      </c>
      <c r="L242" s="16">
        <v>0.0</v>
      </c>
      <c r="M242" s="16">
        <v>648.0</v>
      </c>
      <c r="N242" s="14" t="s">
        <v>83</v>
      </c>
      <c r="O242" s="15"/>
    </row>
    <row r="243" ht="15.75" customHeight="1">
      <c r="A243" s="13">
        <v>45968.0</v>
      </c>
      <c r="B243" s="14" t="s">
        <v>477</v>
      </c>
      <c r="C243" s="14" t="s">
        <v>445</v>
      </c>
      <c r="D243" s="14" t="s">
        <v>79</v>
      </c>
      <c r="E243" s="15" t="s">
        <v>378</v>
      </c>
      <c r="F243" s="15" t="s">
        <v>41</v>
      </c>
      <c r="G243" s="15" t="s">
        <v>18</v>
      </c>
      <c r="H243" s="15" t="s">
        <v>251</v>
      </c>
      <c r="I243" s="14" t="s">
        <v>82</v>
      </c>
      <c r="J243" s="16">
        <v>1464.0</v>
      </c>
      <c r="K243" s="16">
        <v>1464.0</v>
      </c>
      <c r="L243" s="16">
        <v>0.0</v>
      </c>
      <c r="M243" s="16">
        <v>1464.0</v>
      </c>
      <c r="N243" s="14" t="s">
        <v>83</v>
      </c>
      <c r="O243" s="15"/>
    </row>
    <row r="244" ht="15.75" customHeight="1">
      <c r="A244" s="13">
        <v>45968.0</v>
      </c>
      <c r="B244" s="14" t="s">
        <v>478</v>
      </c>
      <c r="C244" s="14" t="s">
        <v>445</v>
      </c>
      <c r="D244" s="14" t="s">
        <v>79</v>
      </c>
      <c r="E244" s="15" t="s">
        <v>155</v>
      </c>
      <c r="F244" s="15" t="s">
        <v>39</v>
      </c>
      <c r="G244" s="15" t="s">
        <v>15</v>
      </c>
      <c r="H244" s="15" t="s">
        <v>156</v>
      </c>
      <c r="I244" s="14" t="s">
        <v>82</v>
      </c>
      <c r="J244" s="16">
        <v>9260.47</v>
      </c>
      <c r="K244" s="16">
        <v>9260.47</v>
      </c>
      <c r="L244" s="16">
        <v>0.0</v>
      </c>
      <c r="M244" s="16">
        <v>9260.47</v>
      </c>
      <c r="N244" s="14" t="s">
        <v>83</v>
      </c>
      <c r="O244" s="15"/>
    </row>
    <row r="245" ht="15.75" customHeight="1">
      <c r="A245" s="13">
        <v>45969.0</v>
      </c>
      <c r="B245" s="14" t="s">
        <v>479</v>
      </c>
      <c r="C245" s="14" t="s">
        <v>445</v>
      </c>
      <c r="D245" s="14" t="s">
        <v>79</v>
      </c>
      <c r="E245" s="15" t="s">
        <v>480</v>
      </c>
      <c r="F245" s="15" t="s">
        <v>101</v>
      </c>
      <c r="G245" s="15" t="s">
        <v>102</v>
      </c>
      <c r="H245" s="15" t="s">
        <v>101</v>
      </c>
      <c r="I245" s="14" t="s">
        <v>103</v>
      </c>
      <c r="J245" s="16">
        <v>-164382.0</v>
      </c>
      <c r="K245" s="16">
        <v>0.0</v>
      </c>
      <c r="L245" s="16">
        <v>0.0</v>
      </c>
      <c r="M245" s="16">
        <v>0.0</v>
      </c>
      <c r="N245" s="14" t="s">
        <v>83</v>
      </c>
      <c r="O245" s="15" t="s">
        <v>104</v>
      </c>
    </row>
    <row r="246" ht="15.75" customHeight="1">
      <c r="A246" s="13">
        <v>45970.0</v>
      </c>
      <c r="B246" s="14" t="s">
        <v>481</v>
      </c>
      <c r="C246" s="14" t="s">
        <v>445</v>
      </c>
      <c r="D246" s="14" t="s">
        <v>79</v>
      </c>
      <c r="E246" s="15" t="s">
        <v>459</v>
      </c>
      <c r="F246" s="15" t="s">
        <v>41</v>
      </c>
      <c r="G246" s="15" t="s">
        <v>18</v>
      </c>
      <c r="H246" s="15" t="s">
        <v>251</v>
      </c>
      <c r="I246" s="14" t="s">
        <v>82</v>
      </c>
      <c r="J246" s="16">
        <v>1510.05</v>
      </c>
      <c r="K246" s="16">
        <v>1510.05</v>
      </c>
      <c r="L246" s="16">
        <v>0.0</v>
      </c>
      <c r="M246" s="16">
        <v>1510.05</v>
      </c>
      <c r="N246" s="14" t="s">
        <v>83</v>
      </c>
      <c r="O246" s="15"/>
    </row>
    <row r="247" ht="15.75" customHeight="1">
      <c r="A247" s="13">
        <v>45972.0</v>
      </c>
      <c r="B247" s="14" t="s">
        <v>482</v>
      </c>
      <c r="C247" s="14" t="s">
        <v>445</v>
      </c>
      <c r="D247" s="14" t="s">
        <v>79</v>
      </c>
      <c r="E247" s="15" t="s">
        <v>303</v>
      </c>
      <c r="F247" s="15" t="s">
        <v>41</v>
      </c>
      <c r="G247" s="15" t="s">
        <v>18</v>
      </c>
      <c r="H247" s="15" t="s">
        <v>251</v>
      </c>
      <c r="I247" s="14" t="s">
        <v>82</v>
      </c>
      <c r="J247" s="16">
        <v>231.0</v>
      </c>
      <c r="K247" s="16">
        <v>231.0</v>
      </c>
      <c r="L247" s="16">
        <v>0.0</v>
      </c>
      <c r="M247" s="16">
        <v>231.0</v>
      </c>
      <c r="N247" s="14" t="s">
        <v>83</v>
      </c>
      <c r="O247" s="15"/>
    </row>
    <row r="248" ht="15.75" customHeight="1">
      <c r="A248" s="13">
        <v>45975.0</v>
      </c>
      <c r="B248" s="14" t="s">
        <v>483</v>
      </c>
      <c r="C248" s="14" t="s">
        <v>445</v>
      </c>
      <c r="D248" s="14" t="s">
        <v>79</v>
      </c>
      <c r="E248" s="15" t="s">
        <v>268</v>
      </c>
      <c r="F248" s="15" t="s">
        <v>269</v>
      </c>
      <c r="G248" s="15" t="s">
        <v>60</v>
      </c>
      <c r="H248" s="15" t="s">
        <v>270</v>
      </c>
      <c r="I248" s="14" t="s">
        <v>82</v>
      </c>
      <c r="J248" s="16">
        <v>1500.0</v>
      </c>
      <c r="K248" s="16">
        <v>1500.0</v>
      </c>
      <c r="L248" s="16">
        <v>0.0</v>
      </c>
      <c r="M248" s="16">
        <v>1500.0</v>
      </c>
      <c r="N248" s="14" t="s">
        <v>83</v>
      </c>
      <c r="O248" s="15"/>
    </row>
    <row r="249" ht="15.75" customHeight="1">
      <c r="A249" s="13">
        <v>45975.0</v>
      </c>
      <c r="B249" s="14" t="s">
        <v>484</v>
      </c>
      <c r="C249" s="14" t="s">
        <v>445</v>
      </c>
      <c r="D249" s="14" t="s">
        <v>79</v>
      </c>
      <c r="E249" s="15" t="s">
        <v>303</v>
      </c>
      <c r="F249" s="15" t="s">
        <v>41</v>
      </c>
      <c r="G249" s="15" t="s">
        <v>18</v>
      </c>
      <c r="H249" s="15" t="s">
        <v>251</v>
      </c>
      <c r="I249" s="14" t="s">
        <v>82</v>
      </c>
      <c r="J249" s="16">
        <v>436.0</v>
      </c>
      <c r="K249" s="16">
        <v>436.0</v>
      </c>
      <c r="L249" s="16">
        <v>0.0</v>
      </c>
      <c r="M249" s="16">
        <v>436.0</v>
      </c>
      <c r="N249" s="14" t="s">
        <v>83</v>
      </c>
      <c r="O249" s="15"/>
    </row>
    <row r="250" ht="15.75" customHeight="1">
      <c r="A250" s="13">
        <v>45975.0</v>
      </c>
      <c r="B250" s="14" t="s">
        <v>485</v>
      </c>
      <c r="C250" s="14" t="s">
        <v>445</v>
      </c>
      <c r="D250" s="14" t="s">
        <v>79</v>
      </c>
      <c r="E250" s="15" t="s">
        <v>300</v>
      </c>
      <c r="F250" s="15" t="s">
        <v>63</v>
      </c>
      <c r="G250" s="15" t="s">
        <v>9</v>
      </c>
      <c r="H250" s="15" t="s">
        <v>301</v>
      </c>
      <c r="I250" s="14" t="s">
        <v>82</v>
      </c>
      <c r="J250" s="16">
        <v>4682.4</v>
      </c>
      <c r="K250" s="16">
        <v>4682.4</v>
      </c>
      <c r="L250" s="16">
        <v>0.0</v>
      </c>
      <c r="M250" s="16">
        <v>4682.4</v>
      </c>
      <c r="N250" s="14" t="s">
        <v>83</v>
      </c>
      <c r="O250" s="15"/>
    </row>
    <row r="251" ht="15.75" customHeight="1">
      <c r="A251" s="13">
        <v>45975.0</v>
      </c>
      <c r="B251" s="14" t="s">
        <v>486</v>
      </c>
      <c r="C251" s="14" t="s">
        <v>445</v>
      </c>
      <c r="D251" s="14" t="s">
        <v>79</v>
      </c>
      <c r="E251" s="15" t="s">
        <v>487</v>
      </c>
      <c r="F251" s="15" t="s">
        <v>47</v>
      </c>
      <c r="G251" s="15" t="s">
        <v>9</v>
      </c>
      <c r="H251" s="15" t="s">
        <v>488</v>
      </c>
      <c r="I251" s="14" t="s">
        <v>82</v>
      </c>
      <c r="J251" s="16">
        <v>7668.0</v>
      </c>
      <c r="K251" s="16">
        <v>7668.0</v>
      </c>
      <c r="L251" s="16">
        <v>0.0</v>
      </c>
      <c r="M251" s="16">
        <v>7668.0</v>
      </c>
      <c r="N251" s="14" t="s">
        <v>83</v>
      </c>
      <c r="O251" s="15"/>
    </row>
    <row r="252" ht="15.75" customHeight="1">
      <c r="A252" s="13">
        <v>45976.0</v>
      </c>
      <c r="B252" s="14" t="s">
        <v>489</v>
      </c>
      <c r="C252" s="14" t="s">
        <v>445</v>
      </c>
      <c r="D252" s="14" t="s">
        <v>79</v>
      </c>
      <c r="E252" s="15" t="s">
        <v>375</v>
      </c>
      <c r="F252" s="15" t="s">
        <v>41</v>
      </c>
      <c r="G252" s="15" t="s">
        <v>18</v>
      </c>
      <c r="H252" s="15" t="s">
        <v>251</v>
      </c>
      <c r="I252" s="14" t="s">
        <v>82</v>
      </c>
      <c r="J252" s="16">
        <v>882.0</v>
      </c>
      <c r="K252" s="16">
        <v>882.0</v>
      </c>
      <c r="L252" s="16">
        <v>0.0</v>
      </c>
      <c r="M252" s="16">
        <v>882.0</v>
      </c>
      <c r="N252" s="14" t="s">
        <v>83</v>
      </c>
      <c r="O252" s="15"/>
    </row>
    <row r="253" ht="15.75" customHeight="1">
      <c r="A253" s="13">
        <v>45976.0</v>
      </c>
      <c r="B253" s="14" t="s">
        <v>490</v>
      </c>
      <c r="C253" s="14" t="s">
        <v>445</v>
      </c>
      <c r="D253" s="14" t="s">
        <v>79</v>
      </c>
      <c r="E253" s="15" t="s">
        <v>487</v>
      </c>
      <c r="F253" s="15" t="s">
        <v>47</v>
      </c>
      <c r="G253" s="15" t="s">
        <v>9</v>
      </c>
      <c r="H253" s="15" t="s">
        <v>488</v>
      </c>
      <c r="I253" s="14" t="s">
        <v>82</v>
      </c>
      <c r="J253" s="16">
        <v>12226.0</v>
      </c>
      <c r="K253" s="16">
        <v>12226.0</v>
      </c>
      <c r="L253" s="16">
        <v>0.0</v>
      </c>
      <c r="M253" s="16">
        <v>12226.0</v>
      </c>
      <c r="N253" s="14" t="s">
        <v>83</v>
      </c>
      <c r="O253" s="15"/>
    </row>
    <row r="254" ht="15.75" customHeight="1">
      <c r="A254" s="13">
        <v>45976.0</v>
      </c>
      <c r="B254" s="14" t="s">
        <v>491</v>
      </c>
      <c r="C254" s="14" t="s">
        <v>445</v>
      </c>
      <c r="D254" s="14" t="s">
        <v>79</v>
      </c>
      <c r="E254" s="15" t="s">
        <v>89</v>
      </c>
      <c r="F254" s="15" t="s">
        <v>37</v>
      </c>
      <c r="G254" s="15" t="s">
        <v>9</v>
      </c>
      <c r="H254" s="15" t="s">
        <v>90</v>
      </c>
      <c r="I254" s="14" t="s">
        <v>82</v>
      </c>
      <c r="J254" s="16">
        <v>25110.0</v>
      </c>
      <c r="K254" s="16">
        <v>25110.0</v>
      </c>
      <c r="L254" s="16">
        <v>0.0</v>
      </c>
      <c r="M254" s="16">
        <v>25110.0</v>
      </c>
      <c r="N254" s="14" t="s">
        <v>83</v>
      </c>
      <c r="O254" s="15"/>
    </row>
    <row r="255" ht="15.75" customHeight="1">
      <c r="A255" s="13">
        <v>45976.0</v>
      </c>
      <c r="B255" s="14" t="s">
        <v>492</v>
      </c>
      <c r="C255" s="14" t="s">
        <v>445</v>
      </c>
      <c r="D255" s="14" t="s">
        <v>79</v>
      </c>
      <c r="E255" s="15" t="s">
        <v>89</v>
      </c>
      <c r="F255" s="15" t="s">
        <v>37</v>
      </c>
      <c r="G255" s="15" t="s">
        <v>9</v>
      </c>
      <c r="H255" s="15" t="s">
        <v>90</v>
      </c>
      <c r="I255" s="14" t="s">
        <v>82</v>
      </c>
      <c r="J255" s="16">
        <v>7250.0</v>
      </c>
      <c r="K255" s="16">
        <v>7250.0</v>
      </c>
      <c r="L255" s="16">
        <v>0.0</v>
      </c>
      <c r="M255" s="16">
        <v>7250.0</v>
      </c>
      <c r="N255" s="14" t="s">
        <v>83</v>
      </c>
      <c r="O255" s="15"/>
    </row>
    <row r="256" ht="15.75" customHeight="1">
      <c r="A256" s="13">
        <v>45976.0</v>
      </c>
      <c r="B256" s="14" t="s">
        <v>493</v>
      </c>
      <c r="C256" s="14" t="s">
        <v>445</v>
      </c>
      <c r="D256" s="14" t="s">
        <v>79</v>
      </c>
      <c r="E256" s="15" t="s">
        <v>378</v>
      </c>
      <c r="F256" s="15" t="s">
        <v>41</v>
      </c>
      <c r="G256" s="15" t="s">
        <v>18</v>
      </c>
      <c r="H256" s="15" t="s">
        <v>251</v>
      </c>
      <c r="I256" s="14" t="s">
        <v>82</v>
      </c>
      <c r="J256" s="16">
        <v>314.0</v>
      </c>
      <c r="K256" s="16">
        <v>314.0</v>
      </c>
      <c r="L256" s="16">
        <v>0.0</v>
      </c>
      <c r="M256" s="16">
        <v>314.0</v>
      </c>
      <c r="N256" s="14" t="s">
        <v>83</v>
      </c>
      <c r="O256" s="15"/>
    </row>
    <row r="257" ht="15.75" customHeight="1">
      <c r="A257" s="13">
        <v>45977.0</v>
      </c>
      <c r="B257" s="14" t="s">
        <v>494</v>
      </c>
      <c r="C257" s="14" t="s">
        <v>445</v>
      </c>
      <c r="D257" s="14" t="s">
        <v>79</v>
      </c>
      <c r="E257" s="15" t="s">
        <v>495</v>
      </c>
      <c r="F257" s="15" t="s">
        <v>496</v>
      </c>
      <c r="G257" s="15" t="s">
        <v>56</v>
      </c>
      <c r="H257" s="15" t="s">
        <v>497</v>
      </c>
      <c r="I257" s="14" t="s">
        <v>82</v>
      </c>
      <c r="J257" s="16">
        <v>98.0</v>
      </c>
      <c r="K257" s="16">
        <v>98.0</v>
      </c>
      <c r="L257" s="16">
        <v>0.0</v>
      </c>
      <c r="M257" s="16">
        <v>98.0</v>
      </c>
      <c r="N257" s="14" t="s">
        <v>83</v>
      </c>
      <c r="O257" s="15"/>
    </row>
    <row r="258" ht="15.75" customHeight="1">
      <c r="A258" s="13">
        <v>45977.0</v>
      </c>
      <c r="B258" s="14" t="s">
        <v>498</v>
      </c>
      <c r="C258" s="14" t="s">
        <v>445</v>
      </c>
      <c r="D258" s="14" t="s">
        <v>79</v>
      </c>
      <c r="E258" s="15" t="s">
        <v>495</v>
      </c>
      <c r="F258" s="15" t="s">
        <v>496</v>
      </c>
      <c r="G258" s="15" t="s">
        <v>56</v>
      </c>
      <c r="H258" s="15" t="s">
        <v>497</v>
      </c>
      <c r="I258" s="14" t="s">
        <v>82</v>
      </c>
      <c r="J258" s="16">
        <v>979.0</v>
      </c>
      <c r="K258" s="16">
        <v>979.0</v>
      </c>
      <c r="L258" s="16">
        <v>0.0</v>
      </c>
      <c r="M258" s="16">
        <v>979.0</v>
      </c>
      <c r="N258" s="14" t="s">
        <v>83</v>
      </c>
      <c r="O258" s="15"/>
    </row>
    <row r="259" ht="15.75" customHeight="1">
      <c r="A259" s="13">
        <v>45977.0</v>
      </c>
      <c r="B259" s="14" t="s">
        <v>499</v>
      </c>
      <c r="C259" s="14" t="s">
        <v>445</v>
      </c>
      <c r="D259" s="14" t="s">
        <v>79</v>
      </c>
      <c r="E259" s="15" t="s">
        <v>500</v>
      </c>
      <c r="F259" s="15" t="s">
        <v>42</v>
      </c>
      <c r="G259" s="15" t="s">
        <v>18</v>
      </c>
      <c r="H259" s="15" t="s">
        <v>128</v>
      </c>
      <c r="I259" s="14" t="s">
        <v>82</v>
      </c>
      <c r="J259" s="16">
        <v>621.0</v>
      </c>
      <c r="K259" s="16">
        <v>621.0</v>
      </c>
      <c r="L259" s="16">
        <v>0.0</v>
      </c>
      <c r="M259" s="16">
        <v>621.0</v>
      </c>
      <c r="N259" s="14" t="s">
        <v>83</v>
      </c>
      <c r="O259" s="15"/>
    </row>
    <row r="260" ht="15.75" customHeight="1">
      <c r="A260" s="13">
        <v>45977.0</v>
      </c>
      <c r="B260" s="14" t="s">
        <v>501</v>
      </c>
      <c r="C260" s="14" t="s">
        <v>445</v>
      </c>
      <c r="D260" s="14" t="s">
        <v>79</v>
      </c>
      <c r="E260" s="15" t="s">
        <v>487</v>
      </c>
      <c r="F260" s="15" t="s">
        <v>47</v>
      </c>
      <c r="G260" s="15" t="s">
        <v>9</v>
      </c>
      <c r="H260" s="15" t="s">
        <v>488</v>
      </c>
      <c r="I260" s="14" t="s">
        <v>82</v>
      </c>
      <c r="J260" s="16">
        <v>19382.0</v>
      </c>
      <c r="K260" s="16">
        <v>19382.0</v>
      </c>
      <c r="L260" s="16">
        <v>0.0</v>
      </c>
      <c r="M260" s="16">
        <v>19382.0</v>
      </c>
      <c r="N260" s="14" t="s">
        <v>83</v>
      </c>
      <c r="O260" s="15"/>
    </row>
    <row r="261" ht="15.75" customHeight="1">
      <c r="A261" s="13">
        <v>45978.0</v>
      </c>
      <c r="B261" s="14" t="s">
        <v>502</v>
      </c>
      <c r="C261" s="14" t="s">
        <v>445</v>
      </c>
      <c r="D261" s="14" t="s">
        <v>79</v>
      </c>
      <c r="E261" s="15" t="s">
        <v>487</v>
      </c>
      <c r="F261" s="15" t="s">
        <v>47</v>
      </c>
      <c r="G261" s="15" t="s">
        <v>9</v>
      </c>
      <c r="H261" s="15" t="s">
        <v>488</v>
      </c>
      <c r="I261" s="14" t="s">
        <v>82</v>
      </c>
      <c r="J261" s="16">
        <v>7198.0</v>
      </c>
      <c r="K261" s="16">
        <v>7198.0</v>
      </c>
      <c r="L261" s="16">
        <v>0.0</v>
      </c>
      <c r="M261" s="16">
        <v>7198.0</v>
      </c>
      <c r="N261" s="14" t="s">
        <v>83</v>
      </c>
      <c r="O261" s="15"/>
    </row>
    <row r="262" ht="15.75" customHeight="1">
      <c r="A262" s="13">
        <v>45979.0</v>
      </c>
      <c r="B262" s="14" t="s">
        <v>503</v>
      </c>
      <c r="C262" s="14" t="s">
        <v>445</v>
      </c>
      <c r="D262" s="14" t="s">
        <v>79</v>
      </c>
      <c r="E262" s="15" t="s">
        <v>383</v>
      </c>
      <c r="F262" s="15" t="s">
        <v>44</v>
      </c>
      <c r="G262" s="15" t="s">
        <v>29</v>
      </c>
      <c r="H262" s="15" t="s">
        <v>118</v>
      </c>
      <c r="I262" s="14" t="s">
        <v>82</v>
      </c>
      <c r="J262" s="16">
        <v>344.0</v>
      </c>
      <c r="K262" s="16">
        <v>344.0</v>
      </c>
      <c r="L262" s="16">
        <v>0.0</v>
      </c>
      <c r="M262" s="16">
        <v>344.0</v>
      </c>
      <c r="N262" s="14" t="s">
        <v>83</v>
      </c>
      <c r="O262" s="15"/>
    </row>
    <row r="263" ht="15.75" customHeight="1">
      <c r="A263" s="13">
        <v>45982.0</v>
      </c>
      <c r="B263" s="14" t="s">
        <v>504</v>
      </c>
      <c r="C263" s="14" t="s">
        <v>445</v>
      </c>
      <c r="D263" s="14" t="s">
        <v>79</v>
      </c>
      <c r="E263" s="15" t="s">
        <v>244</v>
      </c>
      <c r="F263" s="15" t="s">
        <v>53</v>
      </c>
      <c r="G263" s="15" t="s">
        <v>36</v>
      </c>
      <c r="H263" s="15" t="s">
        <v>217</v>
      </c>
      <c r="I263" s="14" t="s">
        <v>82</v>
      </c>
      <c r="J263" s="16">
        <v>10413.0</v>
      </c>
      <c r="K263" s="16">
        <v>10413.0</v>
      </c>
      <c r="L263" s="16">
        <v>0.0</v>
      </c>
      <c r="M263" s="16">
        <v>10413.0</v>
      </c>
      <c r="N263" s="14" t="s">
        <v>97</v>
      </c>
      <c r="O263" s="15" t="s">
        <v>218</v>
      </c>
    </row>
    <row r="264" ht="15.75" customHeight="1">
      <c r="A264" s="13">
        <v>45983.0</v>
      </c>
      <c r="B264" s="14" t="s">
        <v>505</v>
      </c>
      <c r="C264" s="14" t="s">
        <v>445</v>
      </c>
      <c r="D264" s="14" t="s">
        <v>79</v>
      </c>
      <c r="E264" s="15" t="s">
        <v>421</v>
      </c>
      <c r="F264" s="15" t="s">
        <v>51</v>
      </c>
      <c r="G264" s="15" t="s">
        <v>30</v>
      </c>
      <c r="H264" s="15" t="s">
        <v>81</v>
      </c>
      <c r="I264" s="14" t="s">
        <v>82</v>
      </c>
      <c r="J264" s="16">
        <v>5449.0</v>
      </c>
      <c r="K264" s="16">
        <v>5449.0</v>
      </c>
      <c r="L264" s="16">
        <v>0.0</v>
      </c>
      <c r="M264" s="16">
        <v>5449.0</v>
      </c>
      <c r="N264" s="14" t="s">
        <v>83</v>
      </c>
      <c r="O264" s="15"/>
    </row>
    <row r="265" ht="15.75" customHeight="1">
      <c r="A265" s="13">
        <v>45983.0</v>
      </c>
      <c r="B265" s="14" t="s">
        <v>506</v>
      </c>
      <c r="C265" s="14" t="s">
        <v>445</v>
      </c>
      <c r="D265" s="14" t="s">
        <v>79</v>
      </c>
      <c r="E265" s="15" t="s">
        <v>507</v>
      </c>
      <c r="F265" s="15" t="s">
        <v>51</v>
      </c>
      <c r="G265" s="15" t="s">
        <v>30</v>
      </c>
      <c r="H265" s="15" t="s">
        <v>81</v>
      </c>
      <c r="I265" s="14" t="s">
        <v>82</v>
      </c>
      <c r="J265" s="16">
        <v>2499.0</v>
      </c>
      <c r="K265" s="16">
        <v>2499.0</v>
      </c>
      <c r="L265" s="16">
        <v>0.0</v>
      </c>
      <c r="M265" s="16">
        <v>2499.0</v>
      </c>
      <c r="N265" s="14" t="s">
        <v>83</v>
      </c>
      <c r="O265" s="15"/>
    </row>
    <row r="266" ht="15.75" customHeight="1">
      <c r="A266" s="13">
        <v>45984.0</v>
      </c>
      <c r="B266" s="14" t="s">
        <v>508</v>
      </c>
      <c r="C266" s="14" t="s">
        <v>509</v>
      </c>
      <c r="D266" s="14" t="s">
        <v>79</v>
      </c>
      <c r="E266" s="15" t="s">
        <v>459</v>
      </c>
      <c r="F266" s="15" t="s">
        <v>41</v>
      </c>
      <c r="G266" s="15" t="s">
        <v>18</v>
      </c>
      <c r="H266" s="15" t="s">
        <v>251</v>
      </c>
      <c r="I266" s="14" t="s">
        <v>82</v>
      </c>
      <c r="J266" s="16">
        <v>550.79</v>
      </c>
      <c r="K266" s="16">
        <v>550.79</v>
      </c>
      <c r="L266" s="16">
        <v>0.0</v>
      </c>
      <c r="M266" s="16">
        <v>550.79</v>
      </c>
      <c r="N266" s="14" t="s">
        <v>83</v>
      </c>
      <c r="O266" s="15"/>
    </row>
    <row r="267" ht="15.75" customHeight="1">
      <c r="A267" s="13">
        <v>45984.0</v>
      </c>
      <c r="B267" s="14" t="s">
        <v>510</v>
      </c>
      <c r="C267" s="14" t="s">
        <v>509</v>
      </c>
      <c r="D267" s="14" t="s">
        <v>79</v>
      </c>
      <c r="E267" s="15" t="s">
        <v>303</v>
      </c>
      <c r="F267" s="15" t="s">
        <v>41</v>
      </c>
      <c r="G267" s="15" t="s">
        <v>18</v>
      </c>
      <c r="H267" s="15" t="s">
        <v>251</v>
      </c>
      <c r="I267" s="14" t="s">
        <v>82</v>
      </c>
      <c r="J267" s="16">
        <v>573.0</v>
      </c>
      <c r="K267" s="16">
        <v>573.0</v>
      </c>
      <c r="L267" s="16">
        <v>0.0</v>
      </c>
      <c r="M267" s="16">
        <v>573.0</v>
      </c>
      <c r="N267" s="14" t="s">
        <v>83</v>
      </c>
      <c r="O267" s="15"/>
    </row>
    <row r="268" ht="15.75" customHeight="1">
      <c r="A268" s="13">
        <v>45984.0</v>
      </c>
      <c r="B268" s="14" t="s">
        <v>511</v>
      </c>
      <c r="C268" s="14" t="s">
        <v>509</v>
      </c>
      <c r="D268" s="14" t="s">
        <v>79</v>
      </c>
      <c r="E268" s="15" t="s">
        <v>303</v>
      </c>
      <c r="F268" s="15" t="s">
        <v>41</v>
      </c>
      <c r="G268" s="15" t="s">
        <v>18</v>
      </c>
      <c r="H268" s="15" t="s">
        <v>251</v>
      </c>
      <c r="I268" s="14" t="s">
        <v>82</v>
      </c>
      <c r="J268" s="16">
        <v>480.0</v>
      </c>
      <c r="K268" s="16">
        <v>480.0</v>
      </c>
      <c r="L268" s="16">
        <v>0.0</v>
      </c>
      <c r="M268" s="16">
        <v>480.0</v>
      </c>
      <c r="N268" s="14" t="s">
        <v>83</v>
      </c>
      <c r="O268" s="15"/>
    </row>
    <row r="269" ht="15.75" customHeight="1">
      <c r="A269" s="13">
        <v>45984.0</v>
      </c>
      <c r="B269" s="14" t="s">
        <v>512</v>
      </c>
      <c r="C269" s="14" t="s">
        <v>509</v>
      </c>
      <c r="D269" s="14" t="s">
        <v>79</v>
      </c>
      <c r="E269" s="15" t="s">
        <v>303</v>
      </c>
      <c r="F269" s="15" t="s">
        <v>41</v>
      </c>
      <c r="G269" s="15" t="s">
        <v>18</v>
      </c>
      <c r="H269" s="15" t="s">
        <v>251</v>
      </c>
      <c r="I269" s="14" t="s">
        <v>82</v>
      </c>
      <c r="J269" s="16">
        <v>223.0</v>
      </c>
      <c r="K269" s="16">
        <v>223.0</v>
      </c>
      <c r="L269" s="16">
        <v>0.0</v>
      </c>
      <c r="M269" s="16">
        <v>223.0</v>
      </c>
      <c r="N269" s="14" t="s">
        <v>83</v>
      </c>
      <c r="O269" s="15"/>
    </row>
    <row r="270" ht="15.75" customHeight="1">
      <c r="A270" s="13">
        <v>45985.0</v>
      </c>
      <c r="B270" s="14" t="s">
        <v>513</v>
      </c>
      <c r="C270" s="14" t="s">
        <v>509</v>
      </c>
      <c r="D270" s="14" t="s">
        <v>79</v>
      </c>
      <c r="E270" s="15" t="s">
        <v>303</v>
      </c>
      <c r="F270" s="15" t="s">
        <v>41</v>
      </c>
      <c r="G270" s="15" t="s">
        <v>18</v>
      </c>
      <c r="H270" s="15" t="s">
        <v>251</v>
      </c>
      <c r="I270" s="14" t="s">
        <v>82</v>
      </c>
      <c r="J270" s="16">
        <v>412.0</v>
      </c>
      <c r="K270" s="16">
        <v>412.0</v>
      </c>
      <c r="L270" s="16">
        <v>0.0</v>
      </c>
      <c r="M270" s="16">
        <v>412.0</v>
      </c>
      <c r="N270" s="14" t="s">
        <v>83</v>
      </c>
      <c r="O270" s="15"/>
    </row>
    <row r="271" ht="15.75" customHeight="1">
      <c r="A271" s="13">
        <v>45986.0</v>
      </c>
      <c r="B271" s="14"/>
      <c r="C271" s="14" t="s">
        <v>509</v>
      </c>
      <c r="D271" s="14" t="s">
        <v>79</v>
      </c>
      <c r="E271" s="15" t="s">
        <v>514</v>
      </c>
      <c r="F271" s="15" t="s">
        <v>198</v>
      </c>
      <c r="G271" s="15" t="s">
        <v>64</v>
      </c>
      <c r="H271" s="15" t="s">
        <v>199</v>
      </c>
      <c r="I271" s="14" t="s">
        <v>82</v>
      </c>
      <c r="J271" s="16">
        <v>24.99</v>
      </c>
      <c r="K271" s="16">
        <v>24.99</v>
      </c>
      <c r="L271" s="16">
        <v>0.0</v>
      </c>
      <c r="M271" s="16">
        <v>24.99</v>
      </c>
      <c r="N271" s="14" t="s">
        <v>83</v>
      </c>
      <c r="O271" s="15"/>
    </row>
    <row r="272" ht="15.75" customHeight="1">
      <c r="A272" s="13">
        <v>45986.0</v>
      </c>
      <c r="B272" s="14"/>
      <c r="C272" s="14" t="s">
        <v>509</v>
      </c>
      <c r="D272" s="14" t="s">
        <v>79</v>
      </c>
      <c r="E272" s="15" t="s">
        <v>515</v>
      </c>
      <c r="F272" s="15" t="s">
        <v>198</v>
      </c>
      <c r="G272" s="15" t="s">
        <v>64</v>
      </c>
      <c r="H272" s="15" t="s">
        <v>199</v>
      </c>
      <c r="I272" s="14" t="s">
        <v>82</v>
      </c>
      <c r="J272" s="16">
        <v>4.5</v>
      </c>
      <c r="K272" s="16">
        <v>4.5</v>
      </c>
      <c r="L272" s="16">
        <v>0.0</v>
      </c>
      <c r="M272" s="16">
        <v>4.5</v>
      </c>
      <c r="N272" s="14" t="s">
        <v>83</v>
      </c>
      <c r="O272" s="15"/>
    </row>
    <row r="273" ht="15.75" customHeight="1">
      <c r="A273" s="13">
        <v>45986.0</v>
      </c>
      <c r="B273" s="14" t="s">
        <v>516</v>
      </c>
      <c r="C273" s="14" t="s">
        <v>509</v>
      </c>
      <c r="D273" s="14" t="s">
        <v>79</v>
      </c>
      <c r="E273" s="15" t="s">
        <v>303</v>
      </c>
      <c r="F273" s="15" t="s">
        <v>41</v>
      </c>
      <c r="G273" s="15" t="s">
        <v>18</v>
      </c>
      <c r="H273" s="15" t="s">
        <v>251</v>
      </c>
      <c r="I273" s="14" t="s">
        <v>82</v>
      </c>
      <c r="J273" s="16">
        <v>400.0</v>
      </c>
      <c r="K273" s="16">
        <v>400.0</v>
      </c>
      <c r="L273" s="16">
        <v>0.0</v>
      </c>
      <c r="M273" s="16">
        <v>400.0</v>
      </c>
      <c r="N273" s="14" t="s">
        <v>83</v>
      </c>
      <c r="O273" s="15"/>
    </row>
    <row r="274" ht="15.75" customHeight="1">
      <c r="A274" s="13">
        <v>45987.0</v>
      </c>
      <c r="B274" s="14" t="s">
        <v>517</v>
      </c>
      <c r="C274" s="14" t="s">
        <v>509</v>
      </c>
      <c r="D274" s="14" t="s">
        <v>79</v>
      </c>
      <c r="E274" s="15" t="s">
        <v>303</v>
      </c>
      <c r="F274" s="15" t="s">
        <v>41</v>
      </c>
      <c r="G274" s="15" t="s">
        <v>18</v>
      </c>
      <c r="H274" s="15" t="s">
        <v>251</v>
      </c>
      <c r="I274" s="14" t="s">
        <v>82</v>
      </c>
      <c r="J274" s="16">
        <v>722.0</v>
      </c>
      <c r="K274" s="16">
        <v>722.0</v>
      </c>
      <c r="L274" s="16">
        <v>0.0</v>
      </c>
      <c r="M274" s="16">
        <v>722.0</v>
      </c>
      <c r="N274" s="14" t="s">
        <v>83</v>
      </c>
      <c r="O274" s="15"/>
    </row>
    <row r="275" ht="15.75" customHeight="1">
      <c r="A275" s="13">
        <v>45987.0</v>
      </c>
      <c r="B275" s="14" t="s">
        <v>518</v>
      </c>
      <c r="C275" s="14" t="s">
        <v>509</v>
      </c>
      <c r="D275" s="14" t="s">
        <v>79</v>
      </c>
      <c r="E275" s="15" t="s">
        <v>303</v>
      </c>
      <c r="F275" s="15" t="s">
        <v>41</v>
      </c>
      <c r="G275" s="15" t="s">
        <v>18</v>
      </c>
      <c r="H275" s="15" t="s">
        <v>251</v>
      </c>
      <c r="I275" s="14" t="s">
        <v>82</v>
      </c>
      <c r="J275" s="16">
        <v>179.0</v>
      </c>
      <c r="K275" s="16">
        <v>179.0</v>
      </c>
      <c r="L275" s="16">
        <v>0.0</v>
      </c>
      <c r="M275" s="16">
        <v>179.0</v>
      </c>
      <c r="N275" s="14" t="s">
        <v>83</v>
      </c>
      <c r="O275" s="15"/>
    </row>
    <row r="276" ht="15.75" customHeight="1">
      <c r="A276" s="13">
        <v>45989.0</v>
      </c>
      <c r="B276" s="14" t="s">
        <v>519</v>
      </c>
      <c r="C276" s="14" t="s">
        <v>509</v>
      </c>
      <c r="D276" s="14" t="s">
        <v>79</v>
      </c>
      <c r="E276" s="15" t="s">
        <v>383</v>
      </c>
      <c r="F276" s="15" t="s">
        <v>44</v>
      </c>
      <c r="G276" s="15" t="s">
        <v>29</v>
      </c>
      <c r="H276" s="15" t="s">
        <v>118</v>
      </c>
      <c r="I276" s="14" t="s">
        <v>82</v>
      </c>
      <c r="J276" s="16">
        <v>257.0</v>
      </c>
      <c r="K276" s="16">
        <v>257.0</v>
      </c>
      <c r="L276" s="16">
        <v>0.0</v>
      </c>
      <c r="M276" s="16">
        <v>257.0</v>
      </c>
      <c r="N276" s="14" t="s">
        <v>83</v>
      </c>
      <c r="O276" s="15"/>
    </row>
    <row r="277" ht="15.75" customHeight="1">
      <c r="A277" s="13">
        <v>45989.0</v>
      </c>
      <c r="B277" s="14" t="s">
        <v>520</v>
      </c>
      <c r="C277" s="14" t="s">
        <v>509</v>
      </c>
      <c r="D277" s="14" t="s">
        <v>79</v>
      </c>
      <c r="E277" s="15" t="s">
        <v>378</v>
      </c>
      <c r="F277" s="15" t="s">
        <v>41</v>
      </c>
      <c r="G277" s="15" t="s">
        <v>18</v>
      </c>
      <c r="H277" s="15" t="s">
        <v>251</v>
      </c>
      <c r="I277" s="14" t="s">
        <v>82</v>
      </c>
      <c r="J277" s="16">
        <v>1289.0</v>
      </c>
      <c r="K277" s="16">
        <v>1289.0</v>
      </c>
      <c r="L277" s="16">
        <v>0.0</v>
      </c>
      <c r="M277" s="16">
        <v>1289.0</v>
      </c>
      <c r="N277" s="14" t="s">
        <v>83</v>
      </c>
      <c r="O277" s="15"/>
    </row>
    <row r="278" ht="15.75" customHeight="1">
      <c r="A278" s="13">
        <v>45989.0</v>
      </c>
      <c r="B278" s="14" t="s">
        <v>521</v>
      </c>
      <c r="C278" s="14" t="s">
        <v>509</v>
      </c>
      <c r="D278" s="14" t="s">
        <v>79</v>
      </c>
      <c r="E278" s="15" t="s">
        <v>206</v>
      </c>
      <c r="F278" s="15" t="s">
        <v>44</v>
      </c>
      <c r="G278" s="15" t="s">
        <v>29</v>
      </c>
      <c r="H278" s="15" t="s">
        <v>118</v>
      </c>
      <c r="I278" s="14" t="s">
        <v>82</v>
      </c>
      <c r="J278" s="16">
        <v>343.0</v>
      </c>
      <c r="K278" s="16">
        <v>343.0</v>
      </c>
      <c r="L278" s="16">
        <v>0.0</v>
      </c>
      <c r="M278" s="16">
        <v>343.0</v>
      </c>
      <c r="N278" s="14" t="s">
        <v>83</v>
      </c>
      <c r="O278" s="15"/>
    </row>
    <row r="279" ht="15.75" customHeight="1">
      <c r="A279" s="13">
        <v>45990.0</v>
      </c>
      <c r="B279" s="14" t="s">
        <v>522</v>
      </c>
      <c r="C279" s="14" t="s">
        <v>509</v>
      </c>
      <c r="D279" s="14" t="s">
        <v>79</v>
      </c>
      <c r="E279" s="15" t="s">
        <v>523</v>
      </c>
      <c r="F279" s="15" t="s">
        <v>191</v>
      </c>
      <c r="G279" s="15" t="s">
        <v>56</v>
      </c>
      <c r="H279" s="15" t="s">
        <v>192</v>
      </c>
      <c r="I279" s="14" t="s">
        <v>82</v>
      </c>
      <c r="J279" s="16">
        <v>1789.0</v>
      </c>
      <c r="K279" s="16">
        <v>1789.0</v>
      </c>
      <c r="L279" s="16">
        <v>0.0</v>
      </c>
      <c r="M279" s="16">
        <v>1789.0</v>
      </c>
      <c r="N279" s="14" t="s">
        <v>83</v>
      </c>
      <c r="O279" s="15"/>
    </row>
    <row r="280" ht="15.75" customHeight="1">
      <c r="A280" s="13">
        <v>45990.0</v>
      </c>
      <c r="B280" s="14" t="s">
        <v>524</v>
      </c>
      <c r="C280" s="14" t="s">
        <v>509</v>
      </c>
      <c r="D280" s="14" t="s">
        <v>79</v>
      </c>
      <c r="E280" s="15" t="s">
        <v>507</v>
      </c>
      <c r="F280" s="15" t="s">
        <v>51</v>
      </c>
      <c r="G280" s="15" t="s">
        <v>30</v>
      </c>
      <c r="H280" s="15" t="s">
        <v>81</v>
      </c>
      <c r="I280" s="14" t="s">
        <v>82</v>
      </c>
      <c r="J280" s="16">
        <v>5024.0</v>
      </c>
      <c r="K280" s="16">
        <v>5024.0</v>
      </c>
      <c r="L280" s="16">
        <v>0.0</v>
      </c>
      <c r="M280" s="16">
        <v>5024.0</v>
      </c>
      <c r="N280" s="14" t="s">
        <v>83</v>
      </c>
      <c r="O280" s="15"/>
    </row>
    <row r="281" ht="15.75" customHeight="1">
      <c r="A281" s="13">
        <v>45990.0</v>
      </c>
      <c r="B281" s="14" t="s">
        <v>525</v>
      </c>
      <c r="C281" s="14" t="s">
        <v>509</v>
      </c>
      <c r="D281" s="14" t="s">
        <v>79</v>
      </c>
      <c r="E281" s="15" t="s">
        <v>303</v>
      </c>
      <c r="F281" s="15" t="s">
        <v>41</v>
      </c>
      <c r="G281" s="15" t="s">
        <v>18</v>
      </c>
      <c r="H281" s="15" t="s">
        <v>251</v>
      </c>
      <c r="I281" s="14" t="s">
        <v>82</v>
      </c>
      <c r="J281" s="16">
        <v>1548.0</v>
      </c>
      <c r="K281" s="16">
        <v>1548.0</v>
      </c>
      <c r="L281" s="16">
        <v>0.0</v>
      </c>
      <c r="M281" s="16">
        <v>1548.0</v>
      </c>
      <c r="N281" s="14" t="s">
        <v>83</v>
      </c>
      <c r="O281" s="15"/>
    </row>
    <row r="282" ht="15.75" customHeight="1">
      <c r="A282" s="13">
        <v>45990.0</v>
      </c>
      <c r="B282" s="14" t="s">
        <v>526</v>
      </c>
      <c r="C282" s="14" t="s">
        <v>509</v>
      </c>
      <c r="D282" s="14" t="s">
        <v>79</v>
      </c>
      <c r="E282" s="15" t="s">
        <v>378</v>
      </c>
      <c r="F282" s="15" t="s">
        <v>41</v>
      </c>
      <c r="G282" s="15" t="s">
        <v>18</v>
      </c>
      <c r="H282" s="15" t="s">
        <v>251</v>
      </c>
      <c r="I282" s="14" t="s">
        <v>82</v>
      </c>
      <c r="J282" s="16">
        <v>664.0</v>
      </c>
      <c r="K282" s="16">
        <v>664.0</v>
      </c>
      <c r="L282" s="16">
        <v>0.0</v>
      </c>
      <c r="M282" s="16">
        <v>664.0</v>
      </c>
      <c r="N282" s="14" t="s">
        <v>83</v>
      </c>
      <c r="O282" s="15"/>
    </row>
    <row r="283" ht="15.75" customHeight="1">
      <c r="A283" s="13">
        <v>45990.0</v>
      </c>
      <c r="B283" s="14" t="s">
        <v>527</v>
      </c>
      <c r="C283" s="14" t="s">
        <v>509</v>
      </c>
      <c r="D283" s="14" t="s">
        <v>79</v>
      </c>
      <c r="E283" s="15" t="s">
        <v>117</v>
      </c>
      <c r="F283" s="15" t="s">
        <v>44</v>
      </c>
      <c r="G283" s="15" t="s">
        <v>29</v>
      </c>
      <c r="H283" s="15" t="s">
        <v>118</v>
      </c>
      <c r="I283" s="14" t="s">
        <v>82</v>
      </c>
      <c r="J283" s="16">
        <v>673.0</v>
      </c>
      <c r="K283" s="16">
        <v>673.0</v>
      </c>
      <c r="L283" s="16">
        <v>0.0</v>
      </c>
      <c r="M283" s="16">
        <v>673.0</v>
      </c>
      <c r="N283" s="14" t="s">
        <v>83</v>
      </c>
      <c r="O283" s="15"/>
    </row>
    <row r="284" ht="15.75" customHeight="1">
      <c r="A284" s="13">
        <v>45990.0</v>
      </c>
      <c r="B284" s="14" t="s">
        <v>528</v>
      </c>
      <c r="C284" s="14" t="s">
        <v>509</v>
      </c>
      <c r="D284" s="14" t="s">
        <v>79</v>
      </c>
      <c r="E284" s="15" t="s">
        <v>117</v>
      </c>
      <c r="F284" s="15" t="s">
        <v>44</v>
      </c>
      <c r="G284" s="15" t="s">
        <v>29</v>
      </c>
      <c r="H284" s="15" t="s">
        <v>118</v>
      </c>
      <c r="I284" s="14" t="s">
        <v>82</v>
      </c>
      <c r="J284" s="16">
        <v>204.0</v>
      </c>
      <c r="K284" s="16">
        <v>204.0</v>
      </c>
      <c r="L284" s="16">
        <v>0.0</v>
      </c>
      <c r="M284" s="16">
        <v>204.0</v>
      </c>
      <c r="N284" s="14" t="s">
        <v>83</v>
      </c>
      <c r="O284" s="15"/>
    </row>
    <row r="285" ht="15.75" customHeight="1">
      <c r="A285" s="13">
        <v>45991.0</v>
      </c>
      <c r="B285" s="14"/>
      <c r="C285" s="14" t="s">
        <v>509</v>
      </c>
      <c r="D285" s="14" t="s">
        <v>79</v>
      </c>
      <c r="E285" s="15" t="s">
        <v>529</v>
      </c>
      <c r="F285" s="15" t="s">
        <v>198</v>
      </c>
      <c r="G285" s="15" t="s">
        <v>64</v>
      </c>
      <c r="H285" s="15" t="s">
        <v>199</v>
      </c>
      <c r="I285" s="14" t="s">
        <v>82</v>
      </c>
      <c r="J285" s="16">
        <v>50.24</v>
      </c>
      <c r="K285" s="16">
        <v>50.24</v>
      </c>
      <c r="L285" s="16">
        <v>0.0</v>
      </c>
      <c r="M285" s="16">
        <v>50.24</v>
      </c>
      <c r="N285" s="14" t="s">
        <v>83</v>
      </c>
      <c r="O285" s="15"/>
    </row>
    <row r="286" ht="15.75" customHeight="1">
      <c r="A286" s="13">
        <v>45991.0</v>
      </c>
      <c r="B286" s="14"/>
      <c r="C286" s="14" t="s">
        <v>509</v>
      </c>
      <c r="D286" s="14" t="s">
        <v>79</v>
      </c>
      <c r="E286" s="15" t="s">
        <v>530</v>
      </c>
      <c r="F286" s="15" t="s">
        <v>198</v>
      </c>
      <c r="G286" s="15" t="s">
        <v>64</v>
      </c>
      <c r="H286" s="15" t="s">
        <v>199</v>
      </c>
      <c r="I286" s="14" t="s">
        <v>82</v>
      </c>
      <c r="J286" s="16">
        <v>9.04</v>
      </c>
      <c r="K286" s="16">
        <v>9.04</v>
      </c>
      <c r="L286" s="16">
        <v>0.0</v>
      </c>
      <c r="M286" s="16">
        <v>9.04</v>
      </c>
      <c r="N286" s="14" t="s">
        <v>83</v>
      </c>
      <c r="O286" s="15"/>
    </row>
    <row r="287" ht="15.75" customHeight="1">
      <c r="A287" s="13">
        <v>45991.0</v>
      </c>
      <c r="B287" s="14" t="s">
        <v>531</v>
      </c>
      <c r="C287" s="14" t="s">
        <v>509</v>
      </c>
      <c r="D287" s="14" t="s">
        <v>79</v>
      </c>
      <c r="E287" s="15" t="s">
        <v>317</v>
      </c>
      <c r="F287" s="15" t="s">
        <v>41</v>
      </c>
      <c r="G287" s="15" t="s">
        <v>18</v>
      </c>
      <c r="H287" s="15" t="s">
        <v>251</v>
      </c>
      <c r="I287" s="14" t="s">
        <v>82</v>
      </c>
      <c r="J287" s="16">
        <v>150.0</v>
      </c>
      <c r="K287" s="16">
        <v>150.0</v>
      </c>
      <c r="L287" s="16">
        <v>0.0</v>
      </c>
      <c r="M287" s="16">
        <v>150.0</v>
      </c>
      <c r="N287" s="14" t="s">
        <v>83</v>
      </c>
      <c r="O287" s="15"/>
    </row>
    <row r="288" ht="15.75" customHeight="1">
      <c r="A288" s="13">
        <v>45991.0</v>
      </c>
      <c r="B288" s="14" t="s">
        <v>532</v>
      </c>
      <c r="C288" s="14" t="s">
        <v>509</v>
      </c>
      <c r="D288" s="14" t="s">
        <v>79</v>
      </c>
      <c r="E288" s="15" t="s">
        <v>533</v>
      </c>
      <c r="F288" s="15" t="s">
        <v>41</v>
      </c>
      <c r="G288" s="15" t="s">
        <v>18</v>
      </c>
      <c r="H288" s="15" t="s">
        <v>251</v>
      </c>
      <c r="I288" s="14" t="s">
        <v>82</v>
      </c>
      <c r="J288" s="16">
        <v>2282.0</v>
      </c>
      <c r="K288" s="16">
        <v>2282.0</v>
      </c>
      <c r="L288" s="16">
        <v>0.0</v>
      </c>
      <c r="M288" s="16">
        <v>2282.0</v>
      </c>
      <c r="N288" s="14" t="s">
        <v>83</v>
      </c>
      <c r="O288" s="15"/>
    </row>
    <row r="289" ht="15.75" customHeight="1">
      <c r="A289" s="13">
        <v>45991.0</v>
      </c>
      <c r="B289" s="14" t="s">
        <v>534</v>
      </c>
      <c r="C289" s="14" t="s">
        <v>509</v>
      </c>
      <c r="D289" s="14" t="s">
        <v>79</v>
      </c>
      <c r="E289" s="15" t="s">
        <v>117</v>
      </c>
      <c r="F289" s="15" t="s">
        <v>44</v>
      </c>
      <c r="G289" s="15" t="s">
        <v>29</v>
      </c>
      <c r="H289" s="15" t="s">
        <v>118</v>
      </c>
      <c r="I289" s="14" t="s">
        <v>82</v>
      </c>
      <c r="J289" s="16">
        <v>388.0</v>
      </c>
      <c r="K289" s="16">
        <v>388.0</v>
      </c>
      <c r="L289" s="16">
        <v>0.0</v>
      </c>
      <c r="M289" s="16">
        <v>388.0</v>
      </c>
      <c r="N289" s="14" t="s">
        <v>83</v>
      </c>
      <c r="O289" s="15"/>
    </row>
    <row r="290" ht="15.75" customHeight="1">
      <c r="A290" s="13">
        <v>45992.0</v>
      </c>
      <c r="B290" s="14" t="s">
        <v>535</v>
      </c>
      <c r="C290" s="14" t="s">
        <v>509</v>
      </c>
      <c r="D290" s="14" t="s">
        <v>79</v>
      </c>
      <c r="E290" s="15" t="s">
        <v>303</v>
      </c>
      <c r="F290" s="15" t="s">
        <v>41</v>
      </c>
      <c r="G290" s="15" t="s">
        <v>18</v>
      </c>
      <c r="H290" s="15" t="s">
        <v>251</v>
      </c>
      <c r="I290" s="14" t="s">
        <v>82</v>
      </c>
      <c r="J290" s="16">
        <v>1661.0</v>
      </c>
      <c r="K290" s="16">
        <v>1661.0</v>
      </c>
      <c r="L290" s="16">
        <v>0.0</v>
      </c>
      <c r="M290" s="16">
        <v>1661.0</v>
      </c>
      <c r="N290" s="14" t="s">
        <v>83</v>
      </c>
      <c r="O290" s="15"/>
    </row>
    <row r="291" ht="15.75" customHeight="1">
      <c r="A291" s="13">
        <v>45992.0</v>
      </c>
      <c r="B291" s="14" t="s">
        <v>536</v>
      </c>
      <c r="C291" s="14" t="s">
        <v>509</v>
      </c>
      <c r="D291" s="14" t="s">
        <v>79</v>
      </c>
      <c r="E291" s="15" t="s">
        <v>285</v>
      </c>
      <c r="F291" s="15" t="s">
        <v>51</v>
      </c>
      <c r="G291" s="15" t="s">
        <v>30</v>
      </c>
      <c r="H291" s="15" t="s">
        <v>81</v>
      </c>
      <c r="I291" s="14" t="s">
        <v>82</v>
      </c>
      <c r="J291" s="16">
        <v>649.0</v>
      </c>
      <c r="K291" s="16">
        <v>649.0</v>
      </c>
      <c r="L291" s="16">
        <v>0.0</v>
      </c>
      <c r="M291" s="16">
        <v>649.0</v>
      </c>
      <c r="N291" s="14" t="s">
        <v>83</v>
      </c>
      <c r="O291" s="15"/>
    </row>
    <row r="292" ht="15.75" customHeight="1">
      <c r="A292" s="13">
        <v>45993.0</v>
      </c>
      <c r="B292" s="14" t="s">
        <v>537</v>
      </c>
      <c r="C292" s="14" t="s">
        <v>509</v>
      </c>
      <c r="D292" s="14" t="s">
        <v>79</v>
      </c>
      <c r="E292" s="15" t="s">
        <v>378</v>
      </c>
      <c r="F292" s="15" t="s">
        <v>41</v>
      </c>
      <c r="G292" s="15" t="s">
        <v>18</v>
      </c>
      <c r="H292" s="15" t="s">
        <v>251</v>
      </c>
      <c r="I292" s="14" t="s">
        <v>82</v>
      </c>
      <c r="J292" s="16">
        <v>409.0</v>
      </c>
      <c r="K292" s="16">
        <v>409.0</v>
      </c>
      <c r="L292" s="16">
        <v>0.0</v>
      </c>
      <c r="M292" s="16">
        <v>409.0</v>
      </c>
      <c r="N292" s="14" t="s">
        <v>83</v>
      </c>
      <c r="O292" s="15"/>
    </row>
    <row r="293" ht="15.75" customHeight="1">
      <c r="A293" s="13">
        <v>45993.0</v>
      </c>
      <c r="B293" s="14" t="s">
        <v>538</v>
      </c>
      <c r="C293" s="14" t="s">
        <v>509</v>
      </c>
      <c r="D293" s="14" t="s">
        <v>79</v>
      </c>
      <c r="E293" s="15" t="s">
        <v>459</v>
      </c>
      <c r="F293" s="15" t="s">
        <v>41</v>
      </c>
      <c r="G293" s="15" t="s">
        <v>18</v>
      </c>
      <c r="H293" s="15" t="s">
        <v>251</v>
      </c>
      <c r="I293" s="14" t="s">
        <v>82</v>
      </c>
      <c r="J293" s="16">
        <v>914.56</v>
      </c>
      <c r="K293" s="16">
        <v>914.56</v>
      </c>
      <c r="L293" s="16">
        <v>0.0</v>
      </c>
      <c r="M293" s="16">
        <v>914.56</v>
      </c>
      <c r="N293" s="14" t="s">
        <v>83</v>
      </c>
      <c r="O293" s="15"/>
    </row>
    <row r="294" ht="15.75" customHeight="1">
      <c r="A294" s="13">
        <v>45995.0</v>
      </c>
      <c r="B294" s="14" t="s">
        <v>539</v>
      </c>
      <c r="C294" s="14" t="s">
        <v>509</v>
      </c>
      <c r="D294" s="14" t="s">
        <v>79</v>
      </c>
      <c r="E294" s="15" t="s">
        <v>303</v>
      </c>
      <c r="F294" s="15" t="s">
        <v>41</v>
      </c>
      <c r="G294" s="15" t="s">
        <v>18</v>
      </c>
      <c r="H294" s="15" t="s">
        <v>251</v>
      </c>
      <c r="I294" s="14" t="s">
        <v>82</v>
      </c>
      <c r="J294" s="16">
        <v>1436.0</v>
      </c>
      <c r="K294" s="16">
        <v>1436.0</v>
      </c>
      <c r="L294" s="16">
        <v>0.0</v>
      </c>
      <c r="M294" s="16">
        <v>1436.0</v>
      </c>
      <c r="N294" s="14" t="s">
        <v>83</v>
      </c>
      <c r="O294" s="15"/>
    </row>
    <row r="295" ht="15.75" customHeight="1">
      <c r="A295" s="13">
        <v>45995.0</v>
      </c>
      <c r="B295" s="14" t="s">
        <v>540</v>
      </c>
      <c r="C295" s="14" t="s">
        <v>509</v>
      </c>
      <c r="D295" s="14" t="s">
        <v>79</v>
      </c>
      <c r="E295" s="15" t="s">
        <v>117</v>
      </c>
      <c r="F295" s="15" t="s">
        <v>44</v>
      </c>
      <c r="G295" s="15" t="s">
        <v>29</v>
      </c>
      <c r="H295" s="15" t="s">
        <v>118</v>
      </c>
      <c r="I295" s="14" t="s">
        <v>82</v>
      </c>
      <c r="J295" s="16">
        <v>1645.0</v>
      </c>
      <c r="K295" s="16">
        <v>1645.0</v>
      </c>
      <c r="L295" s="16">
        <v>0.0</v>
      </c>
      <c r="M295" s="16">
        <v>1645.0</v>
      </c>
      <c r="N295" s="14" t="s">
        <v>83</v>
      </c>
      <c r="O295" s="15"/>
    </row>
    <row r="296" ht="15.75" customHeight="1">
      <c r="A296" s="13">
        <v>45996.0</v>
      </c>
      <c r="B296" s="14" t="s">
        <v>541</v>
      </c>
      <c r="C296" s="14" t="s">
        <v>509</v>
      </c>
      <c r="D296" s="14" t="s">
        <v>79</v>
      </c>
      <c r="E296" s="15" t="s">
        <v>542</v>
      </c>
      <c r="F296" s="15" t="s">
        <v>101</v>
      </c>
      <c r="G296" s="15" t="s">
        <v>102</v>
      </c>
      <c r="H296" s="15" t="s">
        <v>101</v>
      </c>
      <c r="I296" s="14" t="s">
        <v>103</v>
      </c>
      <c r="J296" s="16">
        <v>-238887.0</v>
      </c>
      <c r="K296" s="16">
        <v>0.0</v>
      </c>
      <c r="L296" s="16">
        <v>0.0</v>
      </c>
      <c r="M296" s="16">
        <v>0.0</v>
      </c>
      <c r="N296" s="14" t="s">
        <v>83</v>
      </c>
      <c r="O296" s="15" t="s">
        <v>104</v>
      </c>
    </row>
    <row r="297" ht="15.75" customHeight="1">
      <c r="A297" s="13">
        <v>45996.0</v>
      </c>
      <c r="B297" s="14"/>
      <c r="C297" s="14" t="s">
        <v>509</v>
      </c>
      <c r="D297" s="14" t="s">
        <v>79</v>
      </c>
      <c r="E297" s="15" t="s">
        <v>300</v>
      </c>
      <c r="F297" s="15" t="s">
        <v>63</v>
      </c>
      <c r="G297" s="15" t="s">
        <v>9</v>
      </c>
      <c r="H297" s="15" t="s">
        <v>301</v>
      </c>
      <c r="I297" s="14" t="s">
        <v>175</v>
      </c>
      <c r="J297" s="16">
        <v>-3840.0</v>
      </c>
      <c r="K297" s="16">
        <v>0.0</v>
      </c>
      <c r="L297" s="16">
        <v>3840.0</v>
      </c>
      <c r="M297" s="16">
        <v>-3840.0</v>
      </c>
      <c r="N297" s="14" t="s">
        <v>83</v>
      </c>
      <c r="O297" s="15"/>
    </row>
    <row r="298" ht="15.75" customHeight="1">
      <c r="A298" s="13">
        <v>45996.0</v>
      </c>
      <c r="B298" s="14" t="s">
        <v>543</v>
      </c>
      <c r="C298" s="14" t="s">
        <v>509</v>
      </c>
      <c r="D298" s="14" t="s">
        <v>79</v>
      </c>
      <c r="E298" s="15" t="s">
        <v>507</v>
      </c>
      <c r="F298" s="15" t="s">
        <v>51</v>
      </c>
      <c r="G298" s="15" t="s">
        <v>30</v>
      </c>
      <c r="H298" s="15" t="s">
        <v>81</v>
      </c>
      <c r="I298" s="14" t="s">
        <v>82</v>
      </c>
      <c r="J298" s="16">
        <v>1198.0</v>
      </c>
      <c r="K298" s="16">
        <v>1198.0</v>
      </c>
      <c r="L298" s="16">
        <v>0.0</v>
      </c>
      <c r="M298" s="16">
        <v>1198.0</v>
      </c>
      <c r="N298" s="14" t="s">
        <v>83</v>
      </c>
      <c r="O298" s="15"/>
    </row>
    <row r="299" ht="15.75" customHeight="1">
      <c r="A299" s="13">
        <v>45996.0</v>
      </c>
      <c r="B299" s="14" t="s">
        <v>544</v>
      </c>
      <c r="C299" s="14" t="s">
        <v>509</v>
      </c>
      <c r="D299" s="14" t="s">
        <v>79</v>
      </c>
      <c r="E299" s="15" t="s">
        <v>292</v>
      </c>
      <c r="F299" s="15" t="s">
        <v>51</v>
      </c>
      <c r="G299" s="15" t="s">
        <v>30</v>
      </c>
      <c r="H299" s="15" t="s">
        <v>81</v>
      </c>
      <c r="I299" s="14" t="s">
        <v>82</v>
      </c>
      <c r="J299" s="16">
        <v>299.0</v>
      </c>
      <c r="K299" s="16">
        <v>299.0</v>
      </c>
      <c r="L299" s="16">
        <v>0.0</v>
      </c>
      <c r="M299" s="16">
        <v>299.0</v>
      </c>
      <c r="N299" s="14" t="s">
        <v>83</v>
      </c>
      <c r="O299" s="15"/>
    </row>
    <row r="300" ht="15.75" customHeight="1">
      <c r="A300" s="13">
        <v>45997.0</v>
      </c>
      <c r="B300" s="14" t="s">
        <v>545</v>
      </c>
      <c r="C300" s="14" t="s">
        <v>509</v>
      </c>
      <c r="D300" s="14" t="s">
        <v>79</v>
      </c>
      <c r="E300" s="15" t="s">
        <v>117</v>
      </c>
      <c r="F300" s="15" t="s">
        <v>44</v>
      </c>
      <c r="G300" s="15" t="s">
        <v>29</v>
      </c>
      <c r="H300" s="15" t="s">
        <v>118</v>
      </c>
      <c r="I300" s="14" t="s">
        <v>82</v>
      </c>
      <c r="J300" s="16">
        <v>481.0</v>
      </c>
      <c r="K300" s="16">
        <v>481.0</v>
      </c>
      <c r="L300" s="16">
        <v>0.0</v>
      </c>
      <c r="M300" s="16">
        <v>481.0</v>
      </c>
      <c r="N300" s="14" t="s">
        <v>83</v>
      </c>
      <c r="O300" s="15"/>
    </row>
    <row r="301" ht="15.75" customHeight="1">
      <c r="A301" s="13">
        <v>45998.0</v>
      </c>
      <c r="B301" s="14"/>
      <c r="C301" s="14" t="s">
        <v>509</v>
      </c>
      <c r="D301" s="14" t="s">
        <v>79</v>
      </c>
      <c r="E301" s="15" t="s">
        <v>546</v>
      </c>
      <c r="F301" s="15" t="s">
        <v>198</v>
      </c>
      <c r="G301" s="15" t="s">
        <v>64</v>
      </c>
      <c r="H301" s="15" t="s">
        <v>199</v>
      </c>
      <c r="I301" s="14" t="s">
        <v>82</v>
      </c>
      <c r="J301" s="16">
        <v>11.98</v>
      </c>
      <c r="K301" s="16">
        <v>11.98</v>
      </c>
      <c r="L301" s="16">
        <v>0.0</v>
      </c>
      <c r="M301" s="16">
        <v>11.98</v>
      </c>
      <c r="N301" s="14" t="s">
        <v>83</v>
      </c>
      <c r="O301" s="15"/>
    </row>
    <row r="302" ht="15.75" customHeight="1">
      <c r="A302" s="13">
        <v>45998.0</v>
      </c>
      <c r="B302" s="14" t="s">
        <v>547</v>
      </c>
      <c r="C302" s="14" t="s">
        <v>509</v>
      </c>
      <c r="D302" s="14" t="s">
        <v>79</v>
      </c>
      <c r="E302" s="15" t="s">
        <v>548</v>
      </c>
      <c r="F302" s="15" t="s">
        <v>549</v>
      </c>
      <c r="G302" s="15" t="s">
        <v>15</v>
      </c>
      <c r="H302" s="15" t="s">
        <v>550</v>
      </c>
      <c r="I302" s="14" t="s">
        <v>82</v>
      </c>
      <c r="J302" s="16">
        <v>10854.0</v>
      </c>
      <c r="K302" s="16">
        <v>10854.0</v>
      </c>
      <c r="L302" s="16">
        <v>0.0</v>
      </c>
      <c r="M302" s="16">
        <v>10854.0</v>
      </c>
      <c r="N302" s="14" t="s">
        <v>83</v>
      </c>
      <c r="O302" s="15"/>
    </row>
    <row r="303" ht="15.75" customHeight="1">
      <c r="A303" s="13">
        <v>45998.0</v>
      </c>
      <c r="B303" s="14" t="s">
        <v>551</v>
      </c>
      <c r="C303" s="14" t="s">
        <v>509</v>
      </c>
      <c r="D303" s="14" t="s">
        <v>79</v>
      </c>
      <c r="E303" s="15" t="s">
        <v>552</v>
      </c>
      <c r="F303" s="15" t="s">
        <v>61</v>
      </c>
      <c r="G303" s="15" t="s">
        <v>48</v>
      </c>
      <c r="H303" s="15" t="s">
        <v>553</v>
      </c>
      <c r="I303" s="14" t="s">
        <v>82</v>
      </c>
      <c r="J303" s="16">
        <v>21556.0</v>
      </c>
      <c r="K303" s="16">
        <v>21556.0</v>
      </c>
      <c r="L303" s="16">
        <v>0.0</v>
      </c>
      <c r="M303" s="16">
        <v>21556.0</v>
      </c>
      <c r="N303" s="14" t="s">
        <v>83</v>
      </c>
      <c r="O303" s="15"/>
    </row>
    <row r="304" ht="15.75" customHeight="1">
      <c r="A304" s="13">
        <v>45998.0</v>
      </c>
      <c r="B304" s="14" t="s">
        <v>554</v>
      </c>
      <c r="C304" s="14" t="s">
        <v>509</v>
      </c>
      <c r="D304" s="14" t="s">
        <v>79</v>
      </c>
      <c r="E304" s="15" t="s">
        <v>303</v>
      </c>
      <c r="F304" s="15" t="s">
        <v>41</v>
      </c>
      <c r="G304" s="15" t="s">
        <v>18</v>
      </c>
      <c r="H304" s="15" t="s">
        <v>251</v>
      </c>
      <c r="I304" s="14" t="s">
        <v>82</v>
      </c>
      <c r="J304" s="16">
        <v>339.0</v>
      </c>
      <c r="K304" s="16">
        <v>339.0</v>
      </c>
      <c r="L304" s="16">
        <v>0.0</v>
      </c>
      <c r="M304" s="16">
        <v>339.0</v>
      </c>
      <c r="N304" s="14" t="s">
        <v>83</v>
      </c>
      <c r="O304" s="15"/>
    </row>
    <row r="305" ht="15.75" customHeight="1">
      <c r="A305" s="13">
        <v>45998.0</v>
      </c>
      <c r="B305" s="14"/>
      <c r="C305" s="14" t="s">
        <v>509</v>
      </c>
      <c r="D305" s="14" t="s">
        <v>79</v>
      </c>
      <c r="E305" s="15" t="s">
        <v>555</v>
      </c>
      <c r="F305" s="15" t="s">
        <v>198</v>
      </c>
      <c r="G305" s="15" t="s">
        <v>64</v>
      </c>
      <c r="H305" s="15" t="s">
        <v>199</v>
      </c>
      <c r="I305" s="14" t="s">
        <v>82</v>
      </c>
      <c r="J305" s="16">
        <v>2.16</v>
      </c>
      <c r="K305" s="16">
        <v>2.16</v>
      </c>
      <c r="L305" s="16">
        <v>0.0</v>
      </c>
      <c r="M305" s="16">
        <v>2.16</v>
      </c>
      <c r="N305" s="14" t="s">
        <v>83</v>
      </c>
      <c r="O305" s="15"/>
    </row>
    <row r="306" ht="15.75" customHeight="1">
      <c r="A306" s="13">
        <v>45999.0</v>
      </c>
      <c r="B306" s="14" t="s">
        <v>556</v>
      </c>
      <c r="C306" s="14" t="s">
        <v>509</v>
      </c>
      <c r="D306" s="14" t="s">
        <v>79</v>
      </c>
      <c r="E306" s="15" t="s">
        <v>117</v>
      </c>
      <c r="F306" s="15" t="s">
        <v>44</v>
      </c>
      <c r="G306" s="15" t="s">
        <v>29</v>
      </c>
      <c r="H306" s="15" t="s">
        <v>118</v>
      </c>
      <c r="I306" s="14" t="s">
        <v>82</v>
      </c>
      <c r="J306" s="16">
        <v>257.0</v>
      </c>
      <c r="K306" s="16">
        <v>257.0</v>
      </c>
      <c r="L306" s="16">
        <v>0.0</v>
      </c>
      <c r="M306" s="16">
        <v>257.0</v>
      </c>
      <c r="N306" s="14" t="s">
        <v>83</v>
      </c>
      <c r="O306" s="15"/>
    </row>
    <row r="307" ht="15.75" customHeight="1">
      <c r="A307" s="13">
        <v>46000.0</v>
      </c>
      <c r="B307" s="14" t="s">
        <v>557</v>
      </c>
      <c r="C307" s="14" t="s">
        <v>509</v>
      </c>
      <c r="D307" s="14" t="s">
        <v>79</v>
      </c>
      <c r="E307" s="15" t="s">
        <v>558</v>
      </c>
      <c r="F307" s="15" t="s">
        <v>40</v>
      </c>
      <c r="G307" s="15" t="s">
        <v>21</v>
      </c>
      <c r="H307" s="15" t="s">
        <v>150</v>
      </c>
      <c r="I307" s="14" t="s">
        <v>82</v>
      </c>
      <c r="J307" s="16">
        <v>1699.0</v>
      </c>
      <c r="K307" s="16">
        <v>1699.0</v>
      </c>
      <c r="L307" s="16">
        <v>0.0</v>
      </c>
      <c r="M307" s="16">
        <v>1699.0</v>
      </c>
      <c r="N307" s="14" t="s">
        <v>83</v>
      </c>
      <c r="O307" s="15"/>
    </row>
    <row r="308" ht="15.75" customHeight="1">
      <c r="A308" s="13">
        <v>46005.0</v>
      </c>
      <c r="B308" s="14" t="s">
        <v>559</v>
      </c>
      <c r="C308" s="14" t="s">
        <v>509</v>
      </c>
      <c r="D308" s="14" t="s">
        <v>79</v>
      </c>
      <c r="E308" s="15" t="s">
        <v>378</v>
      </c>
      <c r="F308" s="15" t="s">
        <v>41</v>
      </c>
      <c r="G308" s="15" t="s">
        <v>18</v>
      </c>
      <c r="H308" s="15" t="s">
        <v>251</v>
      </c>
      <c r="I308" s="14" t="s">
        <v>82</v>
      </c>
      <c r="J308" s="16">
        <v>1161.0</v>
      </c>
      <c r="K308" s="16">
        <v>1161.0</v>
      </c>
      <c r="L308" s="16">
        <v>0.0</v>
      </c>
      <c r="M308" s="16">
        <v>1161.0</v>
      </c>
      <c r="N308" s="14" t="s">
        <v>83</v>
      </c>
      <c r="O308" s="15"/>
    </row>
    <row r="309" ht="15.75" customHeight="1">
      <c r="A309" s="13">
        <v>46005.0</v>
      </c>
      <c r="B309" s="14" t="s">
        <v>560</v>
      </c>
      <c r="C309" s="14" t="s">
        <v>509</v>
      </c>
      <c r="D309" s="14" t="s">
        <v>79</v>
      </c>
      <c r="E309" s="15" t="s">
        <v>117</v>
      </c>
      <c r="F309" s="15" t="s">
        <v>44</v>
      </c>
      <c r="G309" s="15" t="s">
        <v>29</v>
      </c>
      <c r="H309" s="15" t="s">
        <v>118</v>
      </c>
      <c r="I309" s="14" t="s">
        <v>82</v>
      </c>
      <c r="J309" s="16">
        <v>402.0</v>
      </c>
      <c r="K309" s="16">
        <v>402.0</v>
      </c>
      <c r="L309" s="16">
        <v>0.0</v>
      </c>
      <c r="M309" s="16">
        <v>402.0</v>
      </c>
      <c r="N309" s="14" t="s">
        <v>83</v>
      </c>
      <c r="O309" s="15"/>
    </row>
    <row r="310" ht="15.75" customHeight="1">
      <c r="A310" s="13">
        <v>46006.0</v>
      </c>
      <c r="B310" s="14" t="s">
        <v>561</v>
      </c>
      <c r="C310" s="14" t="s">
        <v>509</v>
      </c>
      <c r="D310" s="14" t="s">
        <v>79</v>
      </c>
      <c r="E310" s="15" t="s">
        <v>117</v>
      </c>
      <c r="F310" s="15" t="s">
        <v>44</v>
      </c>
      <c r="G310" s="15" t="s">
        <v>29</v>
      </c>
      <c r="H310" s="15" t="s">
        <v>118</v>
      </c>
      <c r="I310" s="14" t="s">
        <v>82</v>
      </c>
      <c r="J310" s="16">
        <v>1779.0</v>
      </c>
      <c r="K310" s="16">
        <v>1779.0</v>
      </c>
      <c r="L310" s="16">
        <v>0.0</v>
      </c>
      <c r="M310" s="16">
        <v>1779.0</v>
      </c>
      <c r="N310" s="14" t="s">
        <v>83</v>
      </c>
      <c r="O310" s="15"/>
    </row>
    <row r="311" ht="15.75" customHeight="1">
      <c r="A311" s="13">
        <v>46008.0</v>
      </c>
      <c r="B311" s="14" t="s">
        <v>562</v>
      </c>
      <c r="C311" s="14" t="s">
        <v>509</v>
      </c>
      <c r="D311" s="14" t="s">
        <v>79</v>
      </c>
      <c r="E311" s="15" t="s">
        <v>89</v>
      </c>
      <c r="F311" s="15" t="s">
        <v>37</v>
      </c>
      <c r="G311" s="15" t="s">
        <v>9</v>
      </c>
      <c r="H311" s="15" t="s">
        <v>90</v>
      </c>
      <c r="I311" s="14" t="s">
        <v>82</v>
      </c>
      <c r="J311" s="16">
        <v>9666.0</v>
      </c>
      <c r="K311" s="16">
        <v>9666.0</v>
      </c>
      <c r="L311" s="16">
        <v>0.0</v>
      </c>
      <c r="M311" s="16">
        <v>9666.0</v>
      </c>
      <c r="N311" s="14" t="s">
        <v>83</v>
      </c>
      <c r="O311" s="15"/>
    </row>
    <row r="312" ht="15.75" customHeight="1">
      <c r="A312" s="13">
        <v>46009.0</v>
      </c>
      <c r="B312" s="14" t="s">
        <v>563</v>
      </c>
      <c r="C312" s="14" t="s">
        <v>509</v>
      </c>
      <c r="D312" s="14" t="s">
        <v>79</v>
      </c>
      <c r="E312" s="15" t="s">
        <v>564</v>
      </c>
      <c r="F312" s="15" t="s">
        <v>565</v>
      </c>
      <c r="G312" s="15" t="s">
        <v>9</v>
      </c>
      <c r="H312" s="15" t="s">
        <v>90</v>
      </c>
      <c r="I312" s="14" t="s">
        <v>82</v>
      </c>
      <c r="J312" s="16">
        <v>100.0</v>
      </c>
      <c r="K312" s="16">
        <v>100.0</v>
      </c>
      <c r="L312" s="16">
        <v>0.0</v>
      </c>
      <c r="M312" s="16">
        <v>100.0</v>
      </c>
      <c r="N312" s="14" t="s">
        <v>83</v>
      </c>
      <c r="O312" s="15"/>
    </row>
    <row r="313" ht="15.75" customHeight="1">
      <c r="A313" s="13">
        <v>45996.0</v>
      </c>
      <c r="B313" s="14" t="s">
        <v>566</v>
      </c>
      <c r="C313" s="14" t="s">
        <v>509</v>
      </c>
      <c r="D313" s="14" t="s">
        <v>160</v>
      </c>
      <c r="E313" s="15" t="s">
        <v>567</v>
      </c>
      <c r="F313" s="15" t="s">
        <v>39</v>
      </c>
      <c r="G313" s="15" t="s">
        <v>15</v>
      </c>
      <c r="H313" s="15" t="s">
        <v>156</v>
      </c>
      <c r="I313" s="14" t="s">
        <v>82</v>
      </c>
      <c r="J313" s="16">
        <v>900.0</v>
      </c>
      <c r="K313" s="16">
        <v>900.0</v>
      </c>
      <c r="L313" s="16">
        <v>0.0</v>
      </c>
      <c r="M313" s="16">
        <v>900.0</v>
      </c>
      <c r="N313" s="14" t="s">
        <v>83</v>
      </c>
      <c r="O313" s="15"/>
    </row>
    <row r="314" ht="15.75" customHeight="1">
      <c r="A314" s="13">
        <v>45996.0</v>
      </c>
      <c r="B314" s="14" t="s">
        <v>568</v>
      </c>
      <c r="C314" s="14" t="s">
        <v>509</v>
      </c>
      <c r="D314" s="14" t="s">
        <v>160</v>
      </c>
      <c r="E314" s="15" t="s">
        <v>569</v>
      </c>
      <c r="F314" s="15" t="s">
        <v>569</v>
      </c>
      <c r="G314" s="15" t="s">
        <v>50</v>
      </c>
      <c r="H314" s="15" t="s">
        <v>113</v>
      </c>
      <c r="I314" s="14" t="s">
        <v>82</v>
      </c>
      <c r="J314" s="16">
        <v>1386.0</v>
      </c>
      <c r="K314" s="16">
        <v>1386.0</v>
      </c>
      <c r="L314" s="16">
        <v>0.0</v>
      </c>
      <c r="M314" s="16">
        <v>1386.0</v>
      </c>
      <c r="N314" s="14" t="s">
        <v>114</v>
      </c>
      <c r="O314" s="15" t="s">
        <v>212</v>
      </c>
    </row>
    <row r="315" ht="15.75" customHeight="1">
      <c r="A315" s="13">
        <v>45996.0</v>
      </c>
      <c r="B315" s="14" t="s">
        <v>570</v>
      </c>
      <c r="C315" s="14" t="s">
        <v>509</v>
      </c>
      <c r="D315" s="14" t="s">
        <v>160</v>
      </c>
      <c r="E315" s="15" t="s">
        <v>567</v>
      </c>
      <c r="F315" s="15" t="s">
        <v>39</v>
      </c>
      <c r="G315" s="15" t="s">
        <v>15</v>
      </c>
      <c r="H315" s="15" t="s">
        <v>156</v>
      </c>
      <c r="I315" s="14" t="s">
        <v>82</v>
      </c>
      <c r="J315" s="16">
        <v>9336.93</v>
      </c>
      <c r="K315" s="16">
        <v>9336.93</v>
      </c>
      <c r="L315" s="16">
        <v>0.0</v>
      </c>
      <c r="M315" s="16">
        <v>9336.93</v>
      </c>
      <c r="N315" s="14" t="s">
        <v>83</v>
      </c>
      <c r="O315" s="15"/>
    </row>
    <row r="316" ht="15.75" customHeight="1">
      <c r="A316" s="13">
        <v>45996.0</v>
      </c>
      <c r="B316" s="14" t="s">
        <v>571</v>
      </c>
      <c r="C316" s="14" t="s">
        <v>509</v>
      </c>
      <c r="D316" s="14" t="s">
        <v>160</v>
      </c>
      <c r="E316" s="15" t="s">
        <v>567</v>
      </c>
      <c r="F316" s="15" t="s">
        <v>39</v>
      </c>
      <c r="G316" s="15" t="s">
        <v>15</v>
      </c>
      <c r="H316" s="15" t="s">
        <v>156</v>
      </c>
      <c r="I316" s="14" t="s">
        <v>82</v>
      </c>
      <c r="J316" s="16">
        <v>318.92</v>
      </c>
      <c r="K316" s="16">
        <v>318.92</v>
      </c>
      <c r="L316" s="16">
        <v>0.0</v>
      </c>
      <c r="M316" s="16">
        <v>318.92</v>
      </c>
      <c r="N316" s="14" t="s">
        <v>83</v>
      </c>
      <c r="O316" s="15"/>
    </row>
    <row r="317" ht="15.75" customHeight="1">
      <c r="A317" s="13">
        <v>45999.0</v>
      </c>
      <c r="B317" s="14" t="s">
        <v>572</v>
      </c>
      <c r="C317" s="14" t="s">
        <v>509</v>
      </c>
      <c r="D317" s="14" t="s">
        <v>126</v>
      </c>
      <c r="E317" s="15" t="s">
        <v>365</v>
      </c>
      <c r="F317" s="15" t="s">
        <v>25</v>
      </c>
      <c r="G317" s="15" t="s">
        <v>25</v>
      </c>
      <c r="H317" s="15" t="s">
        <v>366</v>
      </c>
      <c r="I317" s="14" t="s">
        <v>82</v>
      </c>
      <c r="J317" s="16">
        <v>31800.0</v>
      </c>
      <c r="K317" s="16">
        <v>31800.0</v>
      </c>
      <c r="L317" s="16">
        <v>0.0</v>
      </c>
      <c r="M317" s="16">
        <v>31800.0</v>
      </c>
      <c r="N317" s="14" t="s">
        <v>83</v>
      </c>
      <c r="O317" s="15"/>
    </row>
    <row r="318" ht="15.75" customHeight="1">
      <c r="A318" s="13">
        <v>46013.0</v>
      </c>
      <c r="B318" s="14" t="s">
        <v>573</v>
      </c>
      <c r="C318" s="14" t="s">
        <v>574</v>
      </c>
      <c r="D318" s="14" t="s">
        <v>79</v>
      </c>
      <c r="E318" s="15" t="s">
        <v>165</v>
      </c>
      <c r="F318" s="15" t="s">
        <v>42</v>
      </c>
      <c r="G318" s="15" t="s">
        <v>18</v>
      </c>
      <c r="H318" s="15" t="s">
        <v>128</v>
      </c>
      <c r="I318" s="14" t="s">
        <v>82</v>
      </c>
      <c r="J318" s="16">
        <v>704.0</v>
      </c>
      <c r="K318" s="16">
        <v>704.0</v>
      </c>
      <c r="L318" s="16">
        <v>0.0</v>
      </c>
      <c r="M318" s="16">
        <v>704.0</v>
      </c>
      <c r="N318" s="14" t="s">
        <v>83</v>
      </c>
      <c r="O318" s="15"/>
    </row>
    <row r="319" ht="15.75" customHeight="1">
      <c r="A319" s="13">
        <v>46013.0</v>
      </c>
      <c r="B319" s="14" t="s">
        <v>575</v>
      </c>
      <c r="C319" s="14" t="s">
        <v>574</v>
      </c>
      <c r="D319" s="14" t="s">
        <v>79</v>
      </c>
      <c r="E319" s="15" t="s">
        <v>576</v>
      </c>
      <c r="F319" s="15" t="s">
        <v>357</v>
      </c>
      <c r="G319" s="15" t="s">
        <v>54</v>
      </c>
      <c r="H319" s="15" t="s">
        <v>358</v>
      </c>
      <c r="I319" s="14" t="s">
        <v>82</v>
      </c>
      <c r="J319" s="16">
        <v>3000.0</v>
      </c>
      <c r="K319" s="16">
        <v>3000.0</v>
      </c>
      <c r="L319" s="16">
        <v>0.0</v>
      </c>
      <c r="M319" s="16">
        <v>3000.0</v>
      </c>
      <c r="N319" s="14" t="s">
        <v>83</v>
      </c>
      <c r="O319" s="15"/>
    </row>
    <row r="320" ht="15.75" customHeight="1">
      <c r="A320" s="13">
        <v>46015.0</v>
      </c>
      <c r="B320" s="14" t="s">
        <v>577</v>
      </c>
      <c r="C320" s="14" t="s">
        <v>574</v>
      </c>
      <c r="D320" s="14" t="s">
        <v>79</v>
      </c>
      <c r="E320" s="15" t="s">
        <v>89</v>
      </c>
      <c r="F320" s="15" t="s">
        <v>37</v>
      </c>
      <c r="G320" s="15" t="s">
        <v>9</v>
      </c>
      <c r="H320" s="15" t="s">
        <v>90</v>
      </c>
      <c r="I320" s="14" t="s">
        <v>82</v>
      </c>
      <c r="J320" s="16">
        <v>13141.0</v>
      </c>
      <c r="K320" s="16">
        <v>13141.0</v>
      </c>
      <c r="L320" s="16">
        <v>0.0</v>
      </c>
      <c r="M320" s="16">
        <v>13141.0</v>
      </c>
      <c r="N320" s="14" t="s">
        <v>83</v>
      </c>
      <c r="O320" s="15"/>
    </row>
    <row r="321" ht="15.75" customHeight="1">
      <c r="A321" s="13">
        <v>46018.0</v>
      </c>
      <c r="B321" s="14" t="s">
        <v>578</v>
      </c>
      <c r="C321" s="14" t="s">
        <v>574</v>
      </c>
      <c r="D321" s="14" t="s">
        <v>79</v>
      </c>
      <c r="E321" s="15" t="s">
        <v>89</v>
      </c>
      <c r="F321" s="15" t="s">
        <v>37</v>
      </c>
      <c r="G321" s="15" t="s">
        <v>9</v>
      </c>
      <c r="H321" s="15" t="s">
        <v>90</v>
      </c>
      <c r="I321" s="14" t="s">
        <v>82</v>
      </c>
      <c r="J321" s="16">
        <v>11119.0</v>
      </c>
      <c r="K321" s="16">
        <v>11119.0</v>
      </c>
      <c r="L321" s="16">
        <v>0.0</v>
      </c>
      <c r="M321" s="16">
        <v>11119.0</v>
      </c>
      <c r="N321" s="14" t="s">
        <v>83</v>
      </c>
      <c r="O321" s="15"/>
    </row>
    <row r="322" ht="15.75" customHeight="1">
      <c r="A322" s="13">
        <v>46018.0</v>
      </c>
      <c r="B322" s="14" t="s">
        <v>579</v>
      </c>
      <c r="C322" s="14" t="s">
        <v>574</v>
      </c>
      <c r="D322" s="14" t="s">
        <v>79</v>
      </c>
      <c r="E322" s="15" t="s">
        <v>89</v>
      </c>
      <c r="F322" s="15" t="s">
        <v>37</v>
      </c>
      <c r="G322" s="15" t="s">
        <v>9</v>
      </c>
      <c r="H322" s="15" t="s">
        <v>90</v>
      </c>
      <c r="I322" s="14" t="s">
        <v>82</v>
      </c>
      <c r="J322" s="16">
        <v>12469.0</v>
      </c>
      <c r="K322" s="16">
        <v>12469.0</v>
      </c>
      <c r="L322" s="16">
        <v>0.0</v>
      </c>
      <c r="M322" s="16">
        <v>12469.0</v>
      </c>
      <c r="N322" s="14" t="s">
        <v>83</v>
      </c>
      <c r="O322" s="15"/>
    </row>
    <row r="323" ht="15.75" customHeight="1">
      <c r="A323" s="13">
        <v>46020.0</v>
      </c>
      <c r="B323" s="14" t="s">
        <v>580</v>
      </c>
      <c r="C323" s="14" t="s">
        <v>574</v>
      </c>
      <c r="D323" s="14" t="s">
        <v>79</v>
      </c>
      <c r="E323" s="15" t="s">
        <v>581</v>
      </c>
      <c r="F323" s="15" t="s">
        <v>582</v>
      </c>
      <c r="G323" s="15" t="s">
        <v>9</v>
      </c>
      <c r="H323" s="15" t="s">
        <v>583</v>
      </c>
      <c r="I323" s="14" t="s">
        <v>82</v>
      </c>
      <c r="J323" s="16">
        <v>2.0</v>
      </c>
      <c r="K323" s="16">
        <v>2.0</v>
      </c>
      <c r="L323" s="16">
        <v>0.0</v>
      </c>
      <c r="M323" s="16">
        <v>2.0</v>
      </c>
      <c r="N323" s="14" t="s">
        <v>97</v>
      </c>
      <c r="O323" s="15"/>
    </row>
    <row r="324" ht="15.75" customHeight="1">
      <c r="A324" s="13">
        <v>46020.0</v>
      </c>
      <c r="B324" s="14" t="s">
        <v>584</v>
      </c>
      <c r="C324" s="14" t="s">
        <v>574</v>
      </c>
      <c r="D324" s="14" t="s">
        <v>79</v>
      </c>
      <c r="E324" s="15" t="s">
        <v>585</v>
      </c>
      <c r="F324" s="15" t="s">
        <v>42</v>
      </c>
      <c r="G324" s="15" t="s">
        <v>18</v>
      </c>
      <c r="H324" s="15" t="s">
        <v>128</v>
      </c>
      <c r="I324" s="14" t="s">
        <v>82</v>
      </c>
      <c r="J324" s="16">
        <v>4400.0</v>
      </c>
      <c r="K324" s="16">
        <v>4400.0</v>
      </c>
      <c r="L324" s="16">
        <v>0.0</v>
      </c>
      <c r="M324" s="16">
        <v>4400.0</v>
      </c>
      <c r="N324" s="14" t="s">
        <v>83</v>
      </c>
      <c r="O324" s="15"/>
    </row>
    <row r="325" ht="15.75" customHeight="1">
      <c r="A325" s="13">
        <v>46020.0</v>
      </c>
      <c r="B325" s="14" t="s">
        <v>586</v>
      </c>
      <c r="C325" s="14" t="s">
        <v>574</v>
      </c>
      <c r="D325" s="14" t="s">
        <v>79</v>
      </c>
      <c r="E325" s="15" t="s">
        <v>587</v>
      </c>
      <c r="F325" s="15" t="s">
        <v>588</v>
      </c>
      <c r="G325" s="15" t="s">
        <v>9</v>
      </c>
      <c r="H325" s="15" t="s">
        <v>589</v>
      </c>
      <c r="I325" s="14" t="s">
        <v>82</v>
      </c>
      <c r="J325" s="16">
        <v>11869.0</v>
      </c>
      <c r="K325" s="16">
        <v>11869.0</v>
      </c>
      <c r="L325" s="16">
        <v>0.0</v>
      </c>
      <c r="M325" s="16">
        <v>11869.0</v>
      </c>
      <c r="N325" s="14" t="s">
        <v>83</v>
      </c>
      <c r="O325" s="15"/>
    </row>
    <row r="326" ht="15.75" customHeight="1">
      <c r="A326" s="13">
        <v>46020.0</v>
      </c>
      <c r="B326" s="14"/>
      <c r="C326" s="14" t="s">
        <v>574</v>
      </c>
      <c r="D326" s="14" t="s">
        <v>79</v>
      </c>
      <c r="E326" s="15" t="s">
        <v>581</v>
      </c>
      <c r="F326" s="15" t="s">
        <v>582</v>
      </c>
      <c r="G326" s="15" t="s">
        <v>9</v>
      </c>
      <c r="H326" s="15" t="s">
        <v>583</v>
      </c>
      <c r="I326" s="14" t="s">
        <v>175</v>
      </c>
      <c r="J326" s="16">
        <v>-2.0</v>
      </c>
      <c r="K326" s="16">
        <v>0.0</v>
      </c>
      <c r="L326" s="16">
        <v>2.0</v>
      </c>
      <c r="M326" s="16">
        <v>-2.0</v>
      </c>
      <c r="N326" s="14" t="s">
        <v>97</v>
      </c>
      <c r="O326" s="15"/>
    </row>
    <row r="327" ht="15.75" customHeight="1">
      <c r="A327" s="13">
        <v>46022.0</v>
      </c>
      <c r="B327" s="14" t="s">
        <v>590</v>
      </c>
      <c r="C327" s="14" t="s">
        <v>574</v>
      </c>
      <c r="D327" s="14" t="s">
        <v>79</v>
      </c>
      <c r="E327" s="15" t="s">
        <v>591</v>
      </c>
      <c r="F327" s="15" t="s">
        <v>346</v>
      </c>
      <c r="G327" s="15" t="s">
        <v>30</v>
      </c>
      <c r="H327" s="15" t="s">
        <v>347</v>
      </c>
      <c r="I327" s="14" t="s">
        <v>82</v>
      </c>
      <c r="J327" s="16">
        <v>1245.0</v>
      </c>
      <c r="K327" s="16">
        <v>1245.0</v>
      </c>
      <c r="L327" s="16">
        <v>0.0</v>
      </c>
      <c r="M327" s="16">
        <v>1245.0</v>
      </c>
      <c r="N327" s="14" t="s">
        <v>83</v>
      </c>
      <c r="O327" s="15"/>
    </row>
    <row r="328" ht="15.75" customHeight="1">
      <c r="A328" s="13">
        <v>46022.0</v>
      </c>
      <c r="B328" s="14" t="s">
        <v>592</v>
      </c>
      <c r="C328" s="14" t="s">
        <v>574</v>
      </c>
      <c r="D328" s="14" t="s">
        <v>79</v>
      </c>
      <c r="E328" s="15" t="s">
        <v>303</v>
      </c>
      <c r="F328" s="15" t="s">
        <v>41</v>
      </c>
      <c r="G328" s="15" t="s">
        <v>18</v>
      </c>
      <c r="H328" s="15" t="s">
        <v>251</v>
      </c>
      <c r="I328" s="14" t="s">
        <v>82</v>
      </c>
      <c r="J328" s="16">
        <v>320.0</v>
      </c>
      <c r="K328" s="16">
        <v>320.0</v>
      </c>
      <c r="L328" s="16">
        <v>0.0</v>
      </c>
      <c r="M328" s="16">
        <v>320.0</v>
      </c>
      <c r="N328" s="14" t="s">
        <v>83</v>
      </c>
      <c r="O328" s="15"/>
    </row>
    <row r="329" ht="15.75" customHeight="1">
      <c r="A329" s="13">
        <v>46023.0</v>
      </c>
      <c r="B329" s="14" t="s">
        <v>593</v>
      </c>
      <c r="C329" s="14" t="s">
        <v>574</v>
      </c>
      <c r="D329" s="14" t="s">
        <v>79</v>
      </c>
      <c r="E329" s="15" t="s">
        <v>285</v>
      </c>
      <c r="F329" s="15" t="s">
        <v>51</v>
      </c>
      <c r="G329" s="15" t="s">
        <v>30</v>
      </c>
      <c r="H329" s="15" t="s">
        <v>81</v>
      </c>
      <c r="I329" s="14" t="s">
        <v>82</v>
      </c>
      <c r="J329" s="16">
        <v>649.0</v>
      </c>
      <c r="K329" s="16">
        <v>649.0</v>
      </c>
      <c r="L329" s="16">
        <v>0.0</v>
      </c>
      <c r="M329" s="16">
        <v>649.0</v>
      </c>
      <c r="N329" s="14" t="s">
        <v>83</v>
      </c>
      <c r="O329" s="15"/>
    </row>
    <row r="330" ht="15.75" customHeight="1">
      <c r="A330" s="13">
        <v>46023.0</v>
      </c>
      <c r="B330" s="14" t="s">
        <v>594</v>
      </c>
      <c r="C330" s="14" t="s">
        <v>574</v>
      </c>
      <c r="D330" s="14" t="s">
        <v>79</v>
      </c>
      <c r="E330" s="15" t="s">
        <v>303</v>
      </c>
      <c r="F330" s="15" t="s">
        <v>41</v>
      </c>
      <c r="G330" s="15" t="s">
        <v>18</v>
      </c>
      <c r="H330" s="15" t="s">
        <v>251</v>
      </c>
      <c r="I330" s="14" t="s">
        <v>82</v>
      </c>
      <c r="J330" s="16">
        <v>203.0</v>
      </c>
      <c r="K330" s="16">
        <v>203.0</v>
      </c>
      <c r="L330" s="16">
        <v>0.0</v>
      </c>
      <c r="M330" s="16">
        <v>203.0</v>
      </c>
      <c r="N330" s="14" t="s">
        <v>83</v>
      </c>
      <c r="O330" s="15"/>
    </row>
    <row r="331" ht="15.75" customHeight="1">
      <c r="A331" s="13">
        <v>46024.0</v>
      </c>
      <c r="B331" s="14" t="s">
        <v>595</v>
      </c>
      <c r="C331" s="14" t="s">
        <v>574</v>
      </c>
      <c r="D331" s="14" t="s">
        <v>79</v>
      </c>
      <c r="E331" s="15" t="s">
        <v>596</v>
      </c>
      <c r="F331" s="15" t="s">
        <v>357</v>
      </c>
      <c r="G331" s="15" t="s">
        <v>54</v>
      </c>
      <c r="H331" s="15" t="s">
        <v>358</v>
      </c>
      <c r="I331" s="14" t="s">
        <v>82</v>
      </c>
      <c r="J331" s="16">
        <v>2800.0</v>
      </c>
      <c r="K331" s="16">
        <v>2800.0</v>
      </c>
      <c r="L331" s="16">
        <v>0.0</v>
      </c>
      <c r="M331" s="16">
        <v>2800.0</v>
      </c>
      <c r="N331" s="14" t="s">
        <v>83</v>
      </c>
      <c r="O331" s="15"/>
    </row>
    <row r="332" ht="15.75" customHeight="1">
      <c r="A332" s="13">
        <v>46025.0</v>
      </c>
      <c r="B332" s="14" t="s">
        <v>597</v>
      </c>
      <c r="C332" s="14" t="s">
        <v>574</v>
      </c>
      <c r="D332" s="14" t="s">
        <v>79</v>
      </c>
      <c r="E332" s="15" t="s">
        <v>598</v>
      </c>
      <c r="F332" s="15" t="s">
        <v>43</v>
      </c>
      <c r="G332" s="15" t="s">
        <v>26</v>
      </c>
      <c r="H332" s="15" t="s">
        <v>153</v>
      </c>
      <c r="I332" s="14" t="s">
        <v>82</v>
      </c>
      <c r="J332" s="16">
        <v>51000.0</v>
      </c>
      <c r="K332" s="16">
        <v>51000.0</v>
      </c>
      <c r="L332" s="16">
        <v>0.0</v>
      </c>
      <c r="M332" s="16">
        <v>51000.0</v>
      </c>
      <c r="N332" s="14" t="s">
        <v>83</v>
      </c>
      <c r="O332" s="15"/>
    </row>
    <row r="333" ht="15.75" customHeight="1">
      <c r="A333" s="13">
        <v>46026.0</v>
      </c>
      <c r="B333" s="14" t="s">
        <v>599</v>
      </c>
      <c r="C333" s="14" t="s">
        <v>574</v>
      </c>
      <c r="D333" s="14" t="s">
        <v>79</v>
      </c>
      <c r="E333" s="15" t="s">
        <v>600</v>
      </c>
      <c r="F333" s="15" t="s">
        <v>40</v>
      </c>
      <c r="G333" s="15" t="s">
        <v>21</v>
      </c>
      <c r="H333" s="15" t="s">
        <v>150</v>
      </c>
      <c r="I333" s="14" t="s">
        <v>82</v>
      </c>
      <c r="J333" s="16">
        <v>12499.0</v>
      </c>
      <c r="K333" s="16">
        <v>12499.0</v>
      </c>
      <c r="L333" s="16">
        <v>0.0</v>
      </c>
      <c r="M333" s="16">
        <v>12499.0</v>
      </c>
      <c r="N333" s="14" t="s">
        <v>83</v>
      </c>
      <c r="O333" s="15"/>
    </row>
    <row r="334" ht="15.75" customHeight="1">
      <c r="A334" s="13">
        <v>46027.0</v>
      </c>
      <c r="B334" s="14" t="s">
        <v>601</v>
      </c>
      <c r="C334" s="14" t="s">
        <v>574</v>
      </c>
      <c r="D334" s="14" t="s">
        <v>79</v>
      </c>
      <c r="E334" s="15" t="s">
        <v>303</v>
      </c>
      <c r="F334" s="15" t="s">
        <v>41</v>
      </c>
      <c r="G334" s="15" t="s">
        <v>18</v>
      </c>
      <c r="H334" s="15" t="s">
        <v>251</v>
      </c>
      <c r="I334" s="14" t="s">
        <v>82</v>
      </c>
      <c r="J334" s="16">
        <v>267.0</v>
      </c>
      <c r="K334" s="16">
        <v>267.0</v>
      </c>
      <c r="L334" s="16">
        <v>0.0</v>
      </c>
      <c r="M334" s="16">
        <v>267.0</v>
      </c>
      <c r="N334" s="14" t="s">
        <v>83</v>
      </c>
      <c r="O334" s="15"/>
    </row>
    <row r="335" ht="15.75" customHeight="1">
      <c r="A335" s="13">
        <v>46027.0</v>
      </c>
      <c r="B335" s="14" t="s">
        <v>602</v>
      </c>
      <c r="C335" s="14" t="s">
        <v>574</v>
      </c>
      <c r="D335" s="14" t="s">
        <v>79</v>
      </c>
      <c r="E335" s="15" t="s">
        <v>292</v>
      </c>
      <c r="F335" s="15" t="s">
        <v>51</v>
      </c>
      <c r="G335" s="15" t="s">
        <v>30</v>
      </c>
      <c r="H335" s="15" t="s">
        <v>81</v>
      </c>
      <c r="I335" s="14" t="s">
        <v>82</v>
      </c>
      <c r="J335" s="16">
        <v>299.0</v>
      </c>
      <c r="K335" s="16">
        <v>299.0</v>
      </c>
      <c r="L335" s="16">
        <v>0.0</v>
      </c>
      <c r="M335" s="16">
        <v>299.0</v>
      </c>
      <c r="N335" s="14" t="s">
        <v>83</v>
      </c>
      <c r="O335" s="15"/>
    </row>
    <row r="336" ht="15.75" customHeight="1">
      <c r="A336" s="13">
        <v>46028.0</v>
      </c>
      <c r="B336" s="14" t="s">
        <v>603</v>
      </c>
      <c r="C336" s="14" t="s">
        <v>574</v>
      </c>
      <c r="D336" s="14" t="s">
        <v>79</v>
      </c>
      <c r="E336" s="15" t="s">
        <v>604</v>
      </c>
      <c r="F336" s="15" t="s">
        <v>565</v>
      </c>
      <c r="G336" s="15" t="s">
        <v>9</v>
      </c>
      <c r="H336" s="15" t="s">
        <v>90</v>
      </c>
      <c r="I336" s="14" t="s">
        <v>82</v>
      </c>
      <c r="J336" s="16">
        <v>400.0</v>
      </c>
      <c r="K336" s="16">
        <v>400.0</v>
      </c>
      <c r="L336" s="16">
        <v>0.0</v>
      </c>
      <c r="M336" s="16">
        <v>400.0</v>
      </c>
      <c r="N336" s="14" t="s">
        <v>83</v>
      </c>
      <c r="O336" s="15"/>
    </row>
    <row r="337" ht="15.75" customHeight="1">
      <c r="A337" s="13">
        <v>46028.0</v>
      </c>
      <c r="B337" s="14" t="s">
        <v>605</v>
      </c>
      <c r="C337" s="14" t="s">
        <v>574</v>
      </c>
      <c r="D337" s="14" t="s">
        <v>79</v>
      </c>
      <c r="E337" s="15" t="s">
        <v>606</v>
      </c>
      <c r="F337" s="15" t="s">
        <v>101</v>
      </c>
      <c r="G337" s="15" t="s">
        <v>102</v>
      </c>
      <c r="H337" s="15" t="s">
        <v>101</v>
      </c>
      <c r="I337" s="14" t="s">
        <v>103</v>
      </c>
      <c r="J337" s="16">
        <v>-114662.0</v>
      </c>
      <c r="K337" s="16">
        <v>0.0</v>
      </c>
      <c r="L337" s="16">
        <v>0.0</v>
      </c>
      <c r="M337" s="16">
        <v>0.0</v>
      </c>
      <c r="N337" s="14" t="s">
        <v>83</v>
      </c>
      <c r="O337" s="15" t="s">
        <v>104</v>
      </c>
    </row>
    <row r="338" ht="15.75" customHeight="1">
      <c r="A338" s="13">
        <v>46029.0</v>
      </c>
      <c r="B338" s="14" t="s">
        <v>607</v>
      </c>
      <c r="C338" s="14" t="s">
        <v>574</v>
      </c>
      <c r="D338" s="14" t="s">
        <v>79</v>
      </c>
      <c r="E338" s="15" t="s">
        <v>303</v>
      </c>
      <c r="F338" s="15" t="s">
        <v>41</v>
      </c>
      <c r="G338" s="15" t="s">
        <v>18</v>
      </c>
      <c r="H338" s="15" t="s">
        <v>251</v>
      </c>
      <c r="I338" s="14" t="s">
        <v>82</v>
      </c>
      <c r="J338" s="16">
        <v>790.0</v>
      </c>
      <c r="K338" s="16">
        <v>790.0</v>
      </c>
      <c r="L338" s="16">
        <v>0.0</v>
      </c>
      <c r="M338" s="16">
        <v>790.0</v>
      </c>
      <c r="N338" s="14" t="s">
        <v>83</v>
      </c>
      <c r="O338" s="15"/>
    </row>
    <row r="339" ht="15.75" customHeight="1">
      <c r="A339" s="13">
        <v>46029.0</v>
      </c>
      <c r="B339" s="14" t="s">
        <v>608</v>
      </c>
      <c r="C339" s="14" t="s">
        <v>574</v>
      </c>
      <c r="D339" s="14" t="s">
        <v>79</v>
      </c>
      <c r="E339" s="15" t="s">
        <v>117</v>
      </c>
      <c r="F339" s="15" t="s">
        <v>44</v>
      </c>
      <c r="G339" s="15" t="s">
        <v>29</v>
      </c>
      <c r="H339" s="15" t="s">
        <v>118</v>
      </c>
      <c r="I339" s="14" t="s">
        <v>82</v>
      </c>
      <c r="J339" s="16">
        <v>238.0</v>
      </c>
      <c r="K339" s="16">
        <v>238.0</v>
      </c>
      <c r="L339" s="16">
        <v>0.0</v>
      </c>
      <c r="M339" s="16">
        <v>238.0</v>
      </c>
      <c r="N339" s="14" t="s">
        <v>83</v>
      </c>
      <c r="O339" s="15"/>
    </row>
    <row r="340" ht="15.75" customHeight="1">
      <c r="A340" s="13">
        <v>46030.0</v>
      </c>
      <c r="B340" s="14" t="s">
        <v>609</v>
      </c>
      <c r="C340" s="14" t="s">
        <v>574</v>
      </c>
      <c r="D340" s="14" t="s">
        <v>79</v>
      </c>
      <c r="E340" s="15" t="s">
        <v>303</v>
      </c>
      <c r="F340" s="15" t="s">
        <v>41</v>
      </c>
      <c r="G340" s="15" t="s">
        <v>18</v>
      </c>
      <c r="H340" s="15" t="s">
        <v>251</v>
      </c>
      <c r="I340" s="14" t="s">
        <v>82</v>
      </c>
      <c r="J340" s="16">
        <v>548.0</v>
      </c>
      <c r="K340" s="16">
        <v>548.0</v>
      </c>
      <c r="L340" s="16">
        <v>0.0</v>
      </c>
      <c r="M340" s="16">
        <v>548.0</v>
      </c>
      <c r="N340" s="14" t="s">
        <v>83</v>
      </c>
      <c r="O340" s="15"/>
    </row>
    <row r="341" ht="15.75" customHeight="1">
      <c r="A341" s="13">
        <v>46032.0</v>
      </c>
      <c r="B341" s="14" t="s">
        <v>610</v>
      </c>
      <c r="C341" s="14" t="s">
        <v>574</v>
      </c>
      <c r="D341" s="14" t="s">
        <v>79</v>
      </c>
      <c r="E341" s="15" t="s">
        <v>412</v>
      </c>
      <c r="F341" s="15" t="s">
        <v>41</v>
      </c>
      <c r="G341" s="15" t="s">
        <v>18</v>
      </c>
      <c r="H341" s="15" t="s">
        <v>251</v>
      </c>
      <c r="I341" s="14" t="s">
        <v>82</v>
      </c>
      <c r="J341" s="16">
        <v>944.0</v>
      </c>
      <c r="K341" s="16">
        <v>944.0</v>
      </c>
      <c r="L341" s="16">
        <v>0.0</v>
      </c>
      <c r="M341" s="16">
        <v>944.0</v>
      </c>
      <c r="N341" s="14" t="s">
        <v>83</v>
      </c>
      <c r="O341" s="15"/>
    </row>
    <row r="342" ht="15.75" customHeight="1">
      <c r="A342" s="13">
        <v>46032.0</v>
      </c>
      <c r="B342" s="14"/>
      <c r="C342" s="14" t="s">
        <v>574</v>
      </c>
      <c r="D342" s="14" t="s">
        <v>79</v>
      </c>
      <c r="E342" s="15" t="s">
        <v>412</v>
      </c>
      <c r="F342" s="15" t="s">
        <v>41</v>
      </c>
      <c r="G342" s="15" t="s">
        <v>18</v>
      </c>
      <c r="H342" s="15" t="s">
        <v>251</v>
      </c>
      <c r="I342" s="14" t="s">
        <v>175</v>
      </c>
      <c r="J342" s="16">
        <v>-944.0</v>
      </c>
      <c r="K342" s="16">
        <v>0.0</v>
      </c>
      <c r="L342" s="16">
        <v>944.0</v>
      </c>
      <c r="M342" s="16">
        <v>-944.0</v>
      </c>
      <c r="N342" s="14" t="s">
        <v>83</v>
      </c>
      <c r="O342" s="15"/>
    </row>
    <row r="343" ht="15.75" customHeight="1">
      <c r="A343" s="13">
        <v>46032.0</v>
      </c>
      <c r="B343" s="14" t="s">
        <v>611</v>
      </c>
      <c r="C343" s="14" t="s">
        <v>574</v>
      </c>
      <c r="D343" s="14" t="s">
        <v>79</v>
      </c>
      <c r="E343" s="15" t="s">
        <v>303</v>
      </c>
      <c r="F343" s="15" t="s">
        <v>41</v>
      </c>
      <c r="G343" s="15" t="s">
        <v>18</v>
      </c>
      <c r="H343" s="15" t="s">
        <v>251</v>
      </c>
      <c r="I343" s="14" t="s">
        <v>82</v>
      </c>
      <c r="J343" s="16">
        <v>162.0</v>
      </c>
      <c r="K343" s="16">
        <v>162.0</v>
      </c>
      <c r="L343" s="16">
        <v>0.0</v>
      </c>
      <c r="M343" s="16">
        <v>162.0</v>
      </c>
      <c r="N343" s="14" t="s">
        <v>83</v>
      </c>
      <c r="O343" s="15"/>
    </row>
    <row r="344" ht="15.75" customHeight="1">
      <c r="A344" s="13">
        <v>46032.0</v>
      </c>
      <c r="B344" s="14" t="s">
        <v>612</v>
      </c>
      <c r="C344" s="14" t="s">
        <v>574</v>
      </c>
      <c r="D344" s="14" t="s">
        <v>79</v>
      </c>
      <c r="E344" s="15" t="s">
        <v>303</v>
      </c>
      <c r="F344" s="15" t="s">
        <v>41</v>
      </c>
      <c r="G344" s="15" t="s">
        <v>18</v>
      </c>
      <c r="H344" s="15" t="s">
        <v>251</v>
      </c>
      <c r="I344" s="14" t="s">
        <v>82</v>
      </c>
      <c r="J344" s="16">
        <v>515.0</v>
      </c>
      <c r="K344" s="16">
        <v>515.0</v>
      </c>
      <c r="L344" s="16">
        <v>0.0</v>
      </c>
      <c r="M344" s="16">
        <v>515.0</v>
      </c>
      <c r="N344" s="14" t="s">
        <v>83</v>
      </c>
      <c r="O344" s="15"/>
    </row>
    <row r="345" ht="15.75" customHeight="1">
      <c r="A345" s="13">
        <v>46032.0</v>
      </c>
      <c r="B345" s="14" t="s">
        <v>613</v>
      </c>
      <c r="C345" s="14" t="s">
        <v>574</v>
      </c>
      <c r="D345" s="14" t="s">
        <v>79</v>
      </c>
      <c r="E345" s="15" t="s">
        <v>303</v>
      </c>
      <c r="F345" s="15" t="s">
        <v>41</v>
      </c>
      <c r="G345" s="15" t="s">
        <v>18</v>
      </c>
      <c r="H345" s="15" t="s">
        <v>251</v>
      </c>
      <c r="I345" s="14" t="s">
        <v>82</v>
      </c>
      <c r="J345" s="16">
        <v>319.0</v>
      </c>
      <c r="K345" s="16">
        <v>319.0</v>
      </c>
      <c r="L345" s="16">
        <v>0.0</v>
      </c>
      <c r="M345" s="16">
        <v>319.0</v>
      </c>
      <c r="N345" s="14" t="s">
        <v>83</v>
      </c>
      <c r="O345" s="15"/>
    </row>
    <row r="346" ht="15.75" customHeight="1">
      <c r="A346" s="13">
        <v>46032.0</v>
      </c>
      <c r="B346" s="14" t="s">
        <v>614</v>
      </c>
      <c r="C346" s="14" t="s">
        <v>574</v>
      </c>
      <c r="D346" s="14" t="s">
        <v>79</v>
      </c>
      <c r="E346" s="15" t="s">
        <v>400</v>
      </c>
      <c r="F346" s="15" t="s">
        <v>41</v>
      </c>
      <c r="G346" s="15" t="s">
        <v>18</v>
      </c>
      <c r="H346" s="15" t="s">
        <v>251</v>
      </c>
      <c r="I346" s="14" t="s">
        <v>82</v>
      </c>
      <c r="J346" s="16">
        <v>1486.0</v>
      </c>
      <c r="K346" s="16">
        <v>1486.0</v>
      </c>
      <c r="L346" s="16">
        <v>0.0</v>
      </c>
      <c r="M346" s="16">
        <v>1486.0</v>
      </c>
      <c r="N346" s="14" t="s">
        <v>83</v>
      </c>
      <c r="O346" s="15"/>
    </row>
    <row r="347" ht="15.75" customHeight="1">
      <c r="A347" s="13">
        <v>46033.0</v>
      </c>
      <c r="B347" s="14" t="s">
        <v>615</v>
      </c>
      <c r="C347" s="14" t="s">
        <v>574</v>
      </c>
      <c r="D347" s="14" t="s">
        <v>79</v>
      </c>
      <c r="E347" s="15" t="s">
        <v>303</v>
      </c>
      <c r="F347" s="15" t="s">
        <v>41</v>
      </c>
      <c r="G347" s="15" t="s">
        <v>18</v>
      </c>
      <c r="H347" s="15" t="s">
        <v>251</v>
      </c>
      <c r="I347" s="14" t="s">
        <v>82</v>
      </c>
      <c r="J347" s="16">
        <v>750.0</v>
      </c>
      <c r="K347" s="16">
        <v>750.0</v>
      </c>
      <c r="L347" s="16">
        <v>0.0</v>
      </c>
      <c r="M347" s="16">
        <v>750.0</v>
      </c>
      <c r="N347" s="14" t="s">
        <v>83</v>
      </c>
      <c r="O347" s="15"/>
    </row>
    <row r="348" ht="15.75" customHeight="1">
      <c r="A348" s="13">
        <v>46034.0</v>
      </c>
      <c r="B348" s="14" t="s">
        <v>616</v>
      </c>
      <c r="C348" s="14" t="s">
        <v>574</v>
      </c>
      <c r="D348" s="14" t="s">
        <v>79</v>
      </c>
      <c r="E348" s="15" t="s">
        <v>303</v>
      </c>
      <c r="F348" s="15" t="s">
        <v>41</v>
      </c>
      <c r="G348" s="15" t="s">
        <v>18</v>
      </c>
      <c r="H348" s="15" t="s">
        <v>251</v>
      </c>
      <c r="I348" s="14" t="s">
        <v>82</v>
      </c>
      <c r="J348" s="16">
        <v>450.0</v>
      </c>
      <c r="K348" s="16">
        <v>450.0</v>
      </c>
      <c r="L348" s="16">
        <v>0.0</v>
      </c>
      <c r="M348" s="16">
        <v>450.0</v>
      </c>
      <c r="N348" s="14" t="s">
        <v>83</v>
      </c>
      <c r="O348" s="15"/>
    </row>
    <row r="349" ht="15.75" customHeight="1">
      <c r="A349" s="13">
        <v>46034.0</v>
      </c>
      <c r="B349" s="14"/>
      <c r="C349" s="14" t="s">
        <v>574</v>
      </c>
      <c r="D349" s="14" t="s">
        <v>79</v>
      </c>
      <c r="E349" s="15" t="s">
        <v>303</v>
      </c>
      <c r="F349" s="15" t="s">
        <v>41</v>
      </c>
      <c r="G349" s="15" t="s">
        <v>18</v>
      </c>
      <c r="H349" s="15" t="s">
        <v>251</v>
      </c>
      <c r="I349" s="14" t="s">
        <v>175</v>
      </c>
      <c r="J349" s="16">
        <v>-450.0</v>
      </c>
      <c r="K349" s="16">
        <v>0.0</v>
      </c>
      <c r="L349" s="16">
        <v>450.0</v>
      </c>
      <c r="M349" s="16">
        <v>-450.0</v>
      </c>
      <c r="N349" s="14" t="s">
        <v>83</v>
      </c>
      <c r="O349" s="15"/>
    </row>
    <row r="350" ht="15.75" customHeight="1">
      <c r="A350" s="13">
        <v>46035.0</v>
      </c>
      <c r="B350" s="14" t="s">
        <v>617</v>
      </c>
      <c r="C350" s="14" t="s">
        <v>574</v>
      </c>
      <c r="D350" s="14" t="s">
        <v>79</v>
      </c>
      <c r="E350" s="15" t="s">
        <v>117</v>
      </c>
      <c r="F350" s="15" t="s">
        <v>44</v>
      </c>
      <c r="G350" s="15" t="s">
        <v>29</v>
      </c>
      <c r="H350" s="15" t="s">
        <v>118</v>
      </c>
      <c r="I350" s="14" t="s">
        <v>82</v>
      </c>
      <c r="J350" s="16">
        <v>261.0</v>
      </c>
      <c r="K350" s="16">
        <v>261.0</v>
      </c>
      <c r="L350" s="16">
        <v>0.0</v>
      </c>
      <c r="M350" s="16">
        <v>261.0</v>
      </c>
      <c r="N350" s="14" t="s">
        <v>83</v>
      </c>
      <c r="O350" s="15"/>
    </row>
    <row r="351" ht="15.75" customHeight="1">
      <c r="A351" s="13">
        <v>46035.0</v>
      </c>
      <c r="B351" s="14" t="s">
        <v>618</v>
      </c>
      <c r="C351" s="14" t="s">
        <v>574</v>
      </c>
      <c r="D351" s="14" t="s">
        <v>79</v>
      </c>
      <c r="E351" s="15" t="s">
        <v>619</v>
      </c>
      <c r="F351" s="15" t="s">
        <v>39</v>
      </c>
      <c r="G351" s="15" t="s">
        <v>15</v>
      </c>
      <c r="H351" s="15" t="s">
        <v>156</v>
      </c>
      <c r="I351" s="14" t="s">
        <v>82</v>
      </c>
      <c r="J351" s="16">
        <v>3500.0</v>
      </c>
      <c r="K351" s="16">
        <v>3500.0</v>
      </c>
      <c r="L351" s="16">
        <v>0.0</v>
      </c>
      <c r="M351" s="16">
        <v>3500.0</v>
      </c>
      <c r="N351" s="14" t="s">
        <v>83</v>
      </c>
      <c r="O351" s="15"/>
    </row>
    <row r="352" ht="15.75" customHeight="1">
      <c r="A352" s="13">
        <v>46035.0</v>
      </c>
      <c r="B352" s="14" t="s">
        <v>620</v>
      </c>
      <c r="C352" s="14" t="s">
        <v>574</v>
      </c>
      <c r="D352" s="14" t="s">
        <v>79</v>
      </c>
      <c r="E352" s="15" t="s">
        <v>619</v>
      </c>
      <c r="F352" s="15" t="s">
        <v>39</v>
      </c>
      <c r="G352" s="15" t="s">
        <v>15</v>
      </c>
      <c r="H352" s="15" t="s">
        <v>156</v>
      </c>
      <c r="I352" s="14" t="s">
        <v>82</v>
      </c>
      <c r="J352" s="16">
        <v>500.0</v>
      </c>
      <c r="K352" s="16">
        <v>500.0</v>
      </c>
      <c r="L352" s="16">
        <v>0.0</v>
      </c>
      <c r="M352" s="16">
        <v>500.0</v>
      </c>
      <c r="N352" s="14" t="s">
        <v>83</v>
      </c>
      <c r="O352" s="15"/>
    </row>
    <row r="353" ht="15.75" customHeight="1">
      <c r="A353" s="13">
        <v>46035.0</v>
      </c>
      <c r="B353" s="14" t="s">
        <v>621</v>
      </c>
      <c r="C353" s="14" t="s">
        <v>574</v>
      </c>
      <c r="D353" s="14" t="s">
        <v>79</v>
      </c>
      <c r="E353" s="15" t="s">
        <v>303</v>
      </c>
      <c r="F353" s="15" t="s">
        <v>41</v>
      </c>
      <c r="G353" s="15" t="s">
        <v>18</v>
      </c>
      <c r="H353" s="15" t="s">
        <v>251</v>
      </c>
      <c r="I353" s="14" t="s">
        <v>82</v>
      </c>
      <c r="J353" s="16">
        <v>287.0</v>
      </c>
      <c r="K353" s="16">
        <v>287.0</v>
      </c>
      <c r="L353" s="16">
        <v>0.0</v>
      </c>
      <c r="M353" s="16">
        <v>287.0</v>
      </c>
      <c r="N353" s="14" t="s">
        <v>83</v>
      </c>
      <c r="O353" s="15"/>
    </row>
    <row r="354" ht="15.75" customHeight="1">
      <c r="A354" s="13">
        <v>46036.0</v>
      </c>
      <c r="B354" s="14" t="s">
        <v>622</v>
      </c>
      <c r="C354" s="14" t="s">
        <v>574</v>
      </c>
      <c r="D354" s="14" t="s">
        <v>79</v>
      </c>
      <c r="E354" s="15" t="s">
        <v>303</v>
      </c>
      <c r="F354" s="15" t="s">
        <v>41</v>
      </c>
      <c r="G354" s="15" t="s">
        <v>18</v>
      </c>
      <c r="H354" s="15" t="s">
        <v>251</v>
      </c>
      <c r="I354" s="14" t="s">
        <v>82</v>
      </c>
      <c r="J354" s="16">
        <v>222.0</v>
      </c>
      <c r="K354" s="16">
        <v>222.0</v>
      </c>
      <c r="L354" s="16">
        <v>0.0</v>
      </c>
      <c r="M354" s="16">
        <v>222.0</v>
      </c>
      <c r="N354" s="14" t="s">
        <v>83</v>
      </c>
      <c r="O354" s="15"/>
    </row>
    <row r="355" ht="15.75" customHeight="1">
      <c r="A355" s="13">
        <v>46036.0</v>
      </c>
      <c r="B355" s="14" t="s">
        <v>623</v>
      </c>
      <c r="C355" s="14" t="s">
        <v>574</v>
      </c>
      <c r="D355" s="14" t="s">
        <v>79</v>
      </c>
      <c r="E355" s="15" t="s">
        <v>378</v>
      </c>
      <c r="F355" s="15" t="s">
        <v>41</v>
      </c>
      <c r="G355" s="15" t="s">
        <v>18</v>
      </c>
      <c r="H355" s="15" t="s">
        <v>251</v>
      </c>
      <c r="I355" s="14" t="s">
        <v>82</v>
      </c>
      <c r="J355" s="16">
        <v>1108.0</v>
      </c>
      <c r="K355" s="16">
        <v>1108.0</v>
      </c>
      <c r="L355" s="16">
        <v>0.0</v>
      </c>
      <c r="M355" s="16">
        <v>1108.0</v>
      </c>
      <c r="N355" s="14" t="s">
        <v>83</v>
      </c>
      <c r="O355" s="15"/>
    </row>
    <row r="356" ht="15.75" customHeight="1">
      <c r="A356" s="13">
        <v>46036.0</v>
      </c>
      <c r="B356" s="14" t="s">
        <v>624</v>
      </c>
      <c r="C356" s="14" t="s">
        <v>574</v>
      </c>
      <c r="D356" s="14" t="s">
        <v>79</v>
      </c>
      <c r="E356" s="15" t="s">
        <v>120</v>
      </c>
      <c r="F356" s="15" t="s">
        <v>121</v>
      </c>
      <c r="G356" s="15" t="s">
        <v>62</v>
      </c>
      <c r="H356" s="15" t="s">
        <v>122</v>
      </c>
      <c r="I356" s="14" t="s">
        <v>82</v>
      </c>
      <c r="J356" s="16">
        <v>994.0</v>
      </c>
      <c r="K356" s="16">
        <v>994.0</v>
      </c>
      <c r="L356" s="16">
        <v>0.0</v>
      </c>
      <c r="M356" s="16">
        <v>994.0</v>
      </c>
      <c r="N356" s="14" t="s">
        <v>97</v>
      </c>
      <c r="O356" s="15" t="s">
        <v>123</v>
      </c>
    </row>
    <row r="357" ht="15.75" customHeight="1">
      <c r="A357" s="13">
        <v>46036.0</v>
      </c>
      <c r="B357" s="14" t="s">
        <v>625</v>
      </c>
      <c r="C357" s="14" t="s">
        <v>574</v>
      </c>
      <c r="D357" s="14" t="s">
        <v>79</v>
      </c>
      <c r="E357" s="15" t="s">
        <v>303</v>
      </c>
      <c r="F357" s="15" t="s">
        <v>41</v>
      </c>
      <c r="G357" s="15" t="s">
        <v>18</v>
      </c>
      <c r="H357" s="15" t="s">
        <v>251</v>
      </c>
      <c r="I357" s="14" t="s">
        <v>82</v>
      </c>
      <c r="J357" s="16">
        <v>277.0</v>
      </c>
      <c r="K357" s="16">
        <v>277.0</v>
      </c>
      <c r="L357" s="16">
        <v>0.0</v>
      </c>
      <c r="M357" s="16">
        <v>277.0</v>
      </c>
      <c r="N357" s="14" t="s">
        <v>83</v>
      </c>
      <c r="O357" s="15"/>
    </row>
    <row r="358" ht="15.75" customHeight="1">
      <c r="A358" s="13">
        <v>46038.0</v>
      </c>
      <c r="B358" s="14" t="s">
        <v>626</v>
      </c>
      <c r="C358" s="14" t="s">
        <v>574</v>
      </c>
      <c r="D358" s="14" t="s">
        <v>79</v>
      </c>
      <c r="E358" s="15" t="s">
        <v>303</v>
      </c>
      <c r="F358" s="15" t="s">
        <v>41</v>
      </c>
      <c r="G358" s="15" t="s">
        <v>18</v>
      </c>
      <c r="H358" s="15" t="s">
        <v>251</v>
      </c>
      <c r="I358" s="14" t="s">
        <v>82</v>
      </c>
      <c r="J358" s="16">
        <v>468.0</v>
      </c>
      <c r="K358" s="16">
        <v>468.0</v>
      </c>
      <c r="L358" s="16">
        <v>0.0</v>
      </c>
      <c r="M358" s="16">
        <v>468.0</v>
      </c>
      <c r="N358" s="14" t="s">
        <v>83</v>
      </c>
      <c r="O358" s="15"/>
    </row>
    <row r="359" ht="15.75" customHeight="1">
      <c r="A359" s="13">
        <v>46038.0</v>
      </c>
      <c r="B359" s="14" t="s">
        <v>627</v>
      </c>
      <c r="C359" s="14" t="s">
        <v>574</v>
      </c>
      <c r="D359" s="14" t="s">
        <v>79</v>
      </c>
      <c r="E359" s="15" t="s">
        <v>303</v>
      </c>
      <c r="F359" s="15" t="s">
        <v>41</v>
      </c>
      <c r="G359" s="15" t="s">
        <v>18</v>
      </c>
      <c r="H359" s="15" t="s">
        <v>251</v>
      </c>
      <c r="I359" s="14" t="s">
        <v>82</v>
      </c>
      <c r="J359" s="16">
        <v>486.0</v>
      </c>
      <c r="K359" s="16">
        <v>486.0</v>
      </c>
      <c r="L359" s="16">
        <v>0.0</v>
      </c>
      <c r="M359" s="16">
        <v>486.0</v>
      </c>
      <c r="N359" s="14" t="s">
        <v>83</v>
      </c>
      <c r="O359" s="15"/>
    </row>
    <row r="360" ht="15.75" customHeight="1">
      <c r="A360" s="13">
        <v>46039.0</v>
      </c>
      <c r="B360" s="14" t="s">
        <v>628</v>
      </c>
      <c r="C360" s="14" t="s">
        <v>574</v>
      </c>
      <c r="D360" s="14" t="s">
        <v>79</v>
      </c>
      <c r="E360" s="15" t="s">
        <v>629</v>
      </c>
      <c r="F360" s="15" t="s">
        <v>51</v>
      </c>
      <c r="G360" s="15" t="s">
        <v>30</v>
      </c>
      <c r="H360" s="15" t="s">
        <v>81</v>
      </c>
      <c r="I360" s="14" t="s">
        <v>82</v>
      </c>
      <c r="J360" s="16">
        <v>2100.0</v>
      </c>
      <c r="K360" s="16">
        <v>2100.0</v>
      </c>
      <c r="L360" s="16">
        <v>0.0</v>
      </c>
      <c r="M360" s="16">
        <v>2100.0</v>
      </c>
      <c r="N360" s="14" t="s">
        <v>83</v>
      </c>
      <c r="O360" s="15"/>
    </row>
    <row r="361" ht="15.75" customHeight="1">
      <c r="A361" s="13">
        <v>46039.0</v>
      </c>
      <c r="B361" s="14" t="s">
        <v>630</v>
      </c>
      <c r="C361" s="14" t="s">
        <v>574</v>
      </c>
      <c r="D361" s="14" t="s">
        <v>79</v>
      </c>
      <c r="E361" s="15" t="s">
        <v>303</v>
      </c>
      <c r="F361" s="15" t="s">
        <v>41</v>
      </c>
      <c r="G361" s="15" t="s">
        <v>18</v>
      </c>
      <c r="H361" s="15" t="s">
        <v>251</v>
      </c>
      <c r="I361" s="14" t="s">
        <v>82</v>
      </c>
      <c r="J361" s="16">
        <v>844.0</v>
      </c>
      <c r="K361" s="16">
        <v>844.0</v>
      </c>
      <c r="L361" s="16">
        <v>0.0</v>
      </c>
      <c r="M361" s="16">
        <v>844.0</v>
      </c>
      <c r="N361" s="14" t="s">
        <v>83</v>
      </c>
      <c r="O361" s="15"/>
    </row>
    <row r="362" ht="15.75" customHeight="1">
      <c r="A362" s="13">
        <v>46039.0</v>
      </c>
      <c r="B362" s="14" t="s">
        <v>631</v>
      </c>
      <c r="C362" s="14" t="s">
        <v>574</v>
      </c>
      <c r="D362" s="14" t="s">
        <v>79</v>
      </c>
      <c r="E362" s="15" t="s">
        <v>303</v>
      </c>
      <c r="F362" s="15" t="s">
        <v>41</v>
      </c>
      <c r="G362" s="15" t="s">
        <v>18</v>
      </c>
      <c r="H362" s="15" t="s">
        <v>251</v>
      </c>
      <c r="I362" s="14" t="s">
        <v>82</v>
      </c>
      <c r="J362" s="16">
        <v>556.0</v>
      </c>
      <c r="K362" s="16">
        <v>556.0</v>
      </c>
      <c r="L362" s="16">
        <v>0.0</v>
      </c>
      <c r="M362" s="16">
        <v>556.0</v>
      </c>
      <c r="N362" s="14" t="s">
        <v>83</v>
      </c>
      <c r="O362" s="15"/>
    </row>
    <row r="363" ht="15.75" customHeight="1">
      <c r="A363" s="13">
        <v>46039.0</v>
      </c>
      <c r="B363" s="14" t="s">
        <v>632</v>
      </c>
      <c r="C363" s="14" t="s">
        <v>574</v>
      </c>
      <c r="D363" s="14" t="s">
        <v>79</v>
      </c>
      <c r="E363" s="15" t="s">
        <v>378</v>
      </c>
      <c r="F363" s="15" t="s">
        <v>41</v>
      </c>
      <c r="G363" s="15" t="s">
        <v>18</v>
      </c>
      <c r="H363" s="15" t="s">
        <v>251</v>
      </c>
      <c r="I363" s="14" t="s">
        <v>82</v>
      </c>
      <c r="J363" s="16">
        <v>233.0</v>
      </c>
      <c r="K363" s="16">
        <v>233.0</v>
      </c>
      <c r="L363" s="16">
        <v>0.0</v>
      </c>
      <c r="M363" s="16">
        <v>233.0</v>
      </c>
      <c r="N363" s="14" t="s">
        <v>83</v>
      </c>
      <c r="O363" s="15"/>
    </row>
    <row r="364" ht="15.75" customHeight="1">
      <c r="A364" s="13">
        <v>46043.0</v>
      </c>
      <c r="B364" s="14" t="s">
        <v>633</v>
      </c>
      <c r="C364" s="14" t="s">
        <v>574</v>
      </c>
      <c r="D364" s="14" t="s">
        <v>79</v>
      </c>
      <c r="E364" s="15" t="s">
        <v>89</v>
      </c>
      <c r="F364" s="15" t="s">
        <v>37</v>
      </c>
      <c r="G364" s="15" t="s">
        <v>9</v>
      </c>
      <c r="H364" s="15" t="s">
        <v>90</v>
      </c>
      <c r="I364" s="14" t="s">
        <v>82</v>
      </c>
      <c r="J364" s="16">
        <v>10190.0</v>
      </c>
      <c r="K364" s="16">
        <v>10190.0</v>
      </c>
      <c r="L364" s="16">
        <v>0.0</v>
      </c>
      <c r="M364" s="16">
        <v>10190.0</v>
      </c>
      <c r="N364" s="14" t="s">
        <v>83</v>
      </c>
      <c r="O364" s="15"/>
    </row>
    <row r="365" ht="15.75" customHeight="1">
      <c r="A365" s="13">
        <v>46044.0</v>
      </c>
      <c r="B365" s="14" t="s">
        <v>634</v>
      </c>
      <c r="C365" s="14" t="s">
        <v>574</v>
      </c>
      <c r="D365" s="14" t="s">
        <v>79</v>
      </c>
      <c r="E365" s="15" t="s">
        <v>117</v>
      </c>
      <c r="F365" s="15" t="s">
        <v>44</v>
      </c>
      <c r="G365" s="15" t="s">
        <v>29</v>
      </c>
      <c r="H365" s="15" t="s">
        <v>118</v>
      </c>
      <c r="I365" s="14" t="s">
        <v>82</v>
      </c>
      <c r="J365" s="16">
        <v>278.0</v>
      </c>
      <c r="K365" s="16">
        <v>278.0</v>
      </c>
      <c r="L365" s="16">
        <v>0.0</v>
      </c>
      <c r="M365" s="16">
        <v>278.0</v>
      </c>
      <c r="N365" s="14" t="s">
        <v>83</v>
      </c>
      <c r="O365" s="15"/>
    </row>
    <row r="366" ht="15.75" customHeight="1">
      <c r="A366" s="13">
        <v>46044.0</v>
      </c>
      <c r="B366" s="14" t="s">
        <v>635</v>
      </c>
      <c r="C366" s="14" t="s">
        <v>574</v>
      </c>
      <c r="D366" s="14" t="s">
        <v>79</v>
      </c>
      <c r="E366" s="15" t="s">
        <v>303</v>
      </c>
      <c r="F366" s="15" t="s">
        <v>41</v>
      </c>
      <c r="G366" s="15" t="s">
        <v>18</v>
      </c>
      <c r="H366" s="15" t="s">
        <v>251</v>
      </c>
      <c r="I366" s="14" t="s">
        <v>82</v>
      </c>
      <c r="J366" s="16">
        <v>526.0</v>
      </c>
      <c r="K366" s="16">
        <v>526.0</v>
      </c>
      <c r="L366" s="16">
        <v>0.0</v>
      </c>
      <c r="M366" s="16">
        <v>526.0</v>
      </c>
      <c r="N366" s="14" t="s">
        <v>83</v>
      </c>
      <c r="O366" s="15"/>
    </row>
    <row r="367" ht="15.75" customHeight="1">
      <c r="A367" s="13">
        <v>46016.0</v>
      </c>
      <c r="B367" s="14" t="s">
        <v>636</v>
      </c>
      <c r="C367" s="14" t="s">
        <v>574</v>
      </c>
      <c r="D367" s="14" t="s">
        <v>160</v>
      </c>
      <c r="E367" s="15" t="s">
        <v>165</v>
      </c>
      <c r="F367" s="15" t="s">
        <v>42</v>
      </c>
      <c r="G367" s="15" t="s">
        <v>18</v>
      </c>
      <c r="H367" s="15" t="s">
        <v>128</v>
      </c>
      <c r="I367" s="14" t="s">
        <v>82</v>
      </c>
      <c r="J367" s="16">
        <v>1115.0</v>
      </c>
      <c r="K367" s="16">
        <v>1115.0</v>
      </c>
      <c r="L367" s="16">
        <v>0.0</v>
      </c>
      <c r="M367" s="16">
        <v>1115.0</v>
      </c>
      <c r="N367" s="14" t="s">
        <v>83</v>
      </c>
      <c r="O367" s="15"/>
    </row>
    <row r="368" ht="15.75" customHeight="1">
      <c r="A368" s="13">
        <v>46045.0</v>
      </c>
      <c r="B368" s="14" t="s">
        <v>637</v>
      </c>
      <c r="C368" s="14" t="s">
        <v>638</v>
      </c>
      <c r="D368" s="14" t="s">
        <v>79</v>
      </c>
      <c r="E368" s="15" t="s">
        <v>639</v>
      </c>
      <c r="F368" s="15" t="s">
        <v>49</v>
      </c>
      <c r="G368" s="15" t="s">
        <v>9</v>
      </c>
      <c r="H368" s="15" t="s">
        <v>640</v>
      </c>
      <c r="I368" s="14" t="s">
        <v>82</v>
      </c>
      <c r="J368" s="16">
        <v>34040.0</v>
      </c>
      <c r="K368" s="16">
        <v>34040.0</v>
      </c>
      <c r="L368" s="16">
        <v>0.0</v>
      </c>
      <c r="M368" s="16">
        <v>34040.0</v>
      </c>
      <c r="N368" s="14" t="s">
        <v>83</v>
      </c>
      <c r="O368" s="15"/>
    </row>
    <row r="369" ht="15.75" customHeight="1">
      <c r="A369" s="13">
        <v>46046.0</v>
      </c>
      <c r="B369" s="14" t="s">
        <v>641</v>
      </c>
      <c r="C369" s="14" t="s">
        <v>638</v>
      </c>
      <c r="D369" s="14" t="s">
        <v>79</v>
      </c>
      <c r="E369" s="15" t="s">
        <v>642</v>
      </c>
      <c r="F369" s="15" t="s">
        <v>53</v>
      </c>
      <c r="G369" s="15" t="s">
        <v>36</v>
      </c>
      <c r="H369" s="15" t="s">
        <v>217</v>
      </c>
      <c r="I369" s="14" t="s">
        <v>82</v>
      </c>
      <c r="J369" s="16">
        <v>10413.0</v>
      </c>
      <c r="K369" s="16">
        <v>10413.0</v>
      </c>
      <c r="L369" s="16">
        <v>0.0</v>
      </c>
      <c r="M369" s="16">
        <v>10413.0</v>
      </c>
      <c r="N369" s="14" t="s">
        <v>97</v>
      </c>
      <c r="O369" s="15" t="s">
        <v>218</v>
      </c>
    </row>
    <row r="370" ht="15.75" customHeight="1">
      <c r="A370" s="13">
        <v>46046.0</v>
      </c>
      <c r="B370" s="14" t="s">
        <v>643</v>
      </c>
      <c r="C370" s="14" t="s">
        <v>638</v>
      </c>
      <c r="D370" s="14" t="s">
        <v>79</v>
      </c>
      <c r="E370" s="15" t="s">
        <v>303</v>
      </c>
      <c r="F370" s="15" t="s">
        <v>41</v>
      </c>
      <c r="G370" s="15" t="s">
        <v>18</v>
      </c>
      <c r="H370" s="15" t="s">
        <v>251</v>
      </c>
      <c r="I370" s="14" t="s">
        <v>82</v>
      </c>
      <c r="J370" s="16">
        <v>570.0</v>
      </c>
      <c r="K370" s="16">
        <v>570.0</v>
      </c>
      <c r="L370" s="16">
        <v>0.0</v>
      </c>
      <c r="M370" s="16">
        <v>570.0</v>
      </c>
      <c r="N370" s="14" t="s">
        <v>83</v>
      </c>
      <c r="O370" s="15"/>
    </row>
    <row r="371" ht="15.75" customHeight="1">
      <c r="A371" s="13">
        <v>46047.0</v>
      </c>
      <c r="B371" s="14" t="s">
        <v>644</v>
      </c>
      <c r="C371" s="14" t="s">
        <v>638</v>
      </c>
      <c r="D371" s="14" t="s">
        <v>79</v>
      </c>
      <c r="E371" s="15" t="s">
        <v>303</v>
      </c>
      <c r="F371" s="15" t="s">
        <v>41</v>
      </c>
      <c r="G371" s="15" t="s">
        <v>18</v>
      </c>
      <c r="H371" s="15" t="s">
        <v>251</v>
      </c>
      <c r="I371" s="14" t="s">
        <v>82</v>
      </c>
      <c r="J371" s="16">
        <v>603.0</v>
      </c>
      <c r="K371" s="16">
        <v>603.0</v>
      </c>
      <c r="L371" s="16">
        <v>0.0</v>
      </c>
      <c r="M371" s="16">
        <v>603.0</v>
      </c>
      <c r="N371" s="14" t="s">
        <v>83</v>
      </c>
      <c r="O371" s="15"/>
    </row>
    <row r="372" ht="15.75" customHeight="1">
      <c r="A372" s="13">
        <v>46048.0</v>
      </c>
      <c r="B372" s="14" t="s">
        <v>645</v>
      </c>
      <c r="C372" s="14" t="s">
        <v>638</v>
      </c>
      <c r="D372" s="14" t="s">
        <v>79</v>
      </c>
      <c r="E372" s="15" t="s">
        <v>106</v>
      </c>
      <c r="F372" s="15" t="s">
        <v>59</v>
      </c>
      <c r="G372" s="15" t="s">
        <v>9</v>
      </c>
      <c r="H372" s="15" t="s">
        <v>90</v>
      </c>
      <c r="I372" s="14" t="s">
        <v>82</v>
      </c>
      <c r="J372" s="16">
        <v>7094.0</v>
      </c>
      <c r="K372" s="16">
        <v>7094.0</v>
      </c>
      <c r="L372" s="16">
        <v>0.0</v>
      </c>
      <c r="M372" s="16">
        <v>7094.0</v>
      </c>
      <c r="N372" s="14" t="s">
        <v>83</v>
      </c>
      <c r="O372" s="15"/>
    </row>
    <row r="373" ht="15.75" customHeight="1">
      <c r="A373" s="13">
        <v>46048.0</v>
      </c>
      <c r="B373" s="14" t="s">
        <v>646</v>
      </c>
      <c r="C373" s="14" t="s">
        <v>638</v>
      </c>
      <c r="D373" s="14" t="s">
        <v>79</v>
      </c>
      <c r="E373" s="15" t="s">
        <v>106</v>
      </c>
      <c r="F373" s="15" t="s">
        <v>59</v>
      </c>
      <c r="G373" s="15" t="s">
        <v>9</v>
      </c>
      <c r="H373" s="15" t="s">
        <v>90</v>
      </c>
      <c r="I373" s="14" t="s">
        <v>82</v>
      </c>
      <c r="J373" s="16">
        <v>7304.0</v>
      </c>
      <c r="K373" s="16">
        <v>7304.0</v>
      </c>
      <c r="L373" s="16">
        <v>0.0</v>
      </c>
      <c r="M373" s="16">
        <v>7304.0</v>
      </c>
      <c r="N373" s="14" t="s">
        <v>83</v>
      </c>
      <c r="O373" s="15"/>
    </row>
    <row r="374" ht="15.75" customHeight="1">
      <c r="A374" s="13">
        <v>46048.0</v>
      </c>
      <c r="B374" s="14" t="s">
        <v>647</v>
      </c>
      <c r="C374" s="14" t="s">
        <v>638</v>
      </c>
      <c r="D374" s="14" t="s">
        <v>79</v>
      </c>
      <c r="E374" s="15" t="s">
        <v>303</v>
      </c>
      <c r="F374" s="15" t="s">
        <v>41</v>
      </c>
      <c r="G374" s="15" t="s">
        <v>18</v>
      </c>
      <c r="H374" s="15" t="s">
        <v>251</v>
      </c>
      <c r="I374" s="14" t="s">
        <v>82</v>
      </c>
      <c r="J374" s="16">
        <v>241.0</v>
      </c>
      <c r="K374" s="16">
        <v>241.0</v>
      </c>
      <c r="L374" s="16">
        <v>0.0</v>
      </c>
      <c r="M374" s="16">
        <v>241.0</v>
      </c>
      <c r="N374" s="14" t="s">
        <v>83</v>
      </c>
      <c r="O374" s="15"/>
    </row>
    <row r="375" ht="15.75" customHeight="1">
      <c r="A375" s="13">
        <v>46049.0</v>
      </c>
      <c r="B375" s="14" t="s">
        <v>648</v>
      </c>
      <c r="C375" s="14" t="s">
        <v>638</v>
      </c>
      <c r="D375" s="14" t="s">
        <v>79</v>
      </c>
      <c r="E375" s="15" t="s">
        <v>303</v>
      </c>
      <c r="F375" s="15" t="s">
        <v>41</v>
      </c>
      <c r="G375" s="15" t="s">
        <v>18</v>
      </c>
      <c r="H375" s="15" t="s">
        <v>251</v>
      </c>
      <c r="I375" s="14" t="s">
        <v>82</v>
      </c>
      <c r="J375" s="16">
        <v>319.0</v>
      </c>
      <c r="K375" s="16">
        <v>319.0</v>
      </c>
      <c r="L375" s="16">
        <v>0.0</v>
      </c>
      <c r="M375" s="16">
        <v>319.0</v>
      </c>
      <c r="N375" s="14" t="s">
        <v>83</v>
      </c>
      <c r="O375" s="15"/>
    </row>
    <row r="376" ht="15.75" customHeight="1">
      <c r="A376" s="13">
        <v>46050.0</v>
      </c>
      <c r="B376" s="14" t="s">
        <v>649</v>
      </c>
      <c r="C376" s="14" t="s">
        <v>638</v>
      </c>
      <c r="D376" s="14" t="s">
        <v>79</v>
      </c>
      <c r="E376" s="15" t="s">
        <v>303</v>
      </c>
      <c r="F376" s="15" t="s">
        <v>41</v>
      </c>
      <c r="G376" s="15" t="s">
        <v>18</v>
      </c>
      <c r="H376" s="15" t="s">
        <v>251</v>
      </c>
      <c r="I376" s="14" t="s">
        <v>82</v>
      </c>
      <c r="J376" s="16">
        <v>384.0</v>
      </c>
      <c r="K376" s="16">
        <v>384.0</v>
      </c>
      <c r="L376" s="16">
        <v>0.0</v>
      </c>
      <c r="M376" s="16">
        <v>384.0</v>
      </c>
      <c r="N376" s="14" t="s">
        <v>83</v>
      </c>
      <c r="O376" s="15"/>
    </row>
    <row r="377" ht="15.75" customHeight="1">
      <c r="A377" s="13">
        <v>46050.0</v>
      </c>
      <c r="B377" s="14" t="s">
        <v>650</v>
      </c>
      <c r="C377" s="14" t="s">
        <v>638</v>
      </c>
      <c r="D377" s="14" t="s">
        <v>79</v>
      </c>
      <c r="E377" s="15" t="s">
        <v>117</v>
      </c>
      <c r="F377" s="15" t="s">
        <v>44</v>
      </c>
      <c r="G377" s="15" t="s">
        <v>29</v>
      </c>
      <c r="H377" s="15" t="s">
        <v>118</v>
      </c>
      <c r="I377" s="14" t="s">
        <v>82</v>
      </c>
      <c r="J377" s="16">
        <v>390.0</v>
      </c>
      <c r="K377" s="16">
        <v>390.0</v>
      </c>
      <c r="L377" s="16">
        <v>0.0</v>
      </c>
      <c r="M377" s="16">
        <v>390.0</v>
      </c>
      <c r="N377" s="14" t="s">
        <v>83</v>
      </c>
      <c r="O377" s="15"/>
    </row>
    <row r="378" ht="15.75" customHeight="1">
      <c r="A378" s="13">
        <v>46051.0</v>
      </c>
      <c r="B378" s="14" t="s">
        <v>651</v>
      </c>
      <c r="C378" s="14" t="s">
        <v>638</v>
      </c>
      <c r="D378" s="14" t="s">
        <v>79</v>
      </c>
      <c r="E378" s="15" t="s">
        <v>117</v>
      </c>
      <c r="F378" s="15" t="s">
        <v>44</v>
      </c>
      <c r="G378" s="15" t="s">
        <v>29</v>
      </c>
      <c r="H378" s="15" t="s">
        <v>118</v>
      </c>
      <c r="I378" s="14" t="s">
        <v>82</v>
      </c>
      <c r="J378" s="16">
        <v>278.0</v>
      </c>
      <c r="K378" s="16">
        <v>278.0</v>
      </c>
      <c r="L378" s="16">
        <v>0.0</v>
      </c>
      <c r="M378" s="16">
        <v>278.0</v>
      </c>
      <c r="N378" s="14" t="s">
        <v>83</v>
      </c>
      <c r="O378" s="15"/>
    </row>
    <row r="379" ht="15.75" customHeight="1">
      <c r="A379" s="13">
        <v>46051.0</v>
      </c>
      <c r="B379" s="14" t="s">
        <v>652</v>
      </c>
      <c r="C379" s="14" t="s">
        <v>638</v>
      </c>
      <c r="D379" s="14" t="s">
        <v>79</v>
      </c>
      <c r="E379" s="15" t="s">
        <v>117</v>
      </c>
      <c r="F379" s="15" t="s">
        <v>44</v>
      </c>
      <c r="G379" s="15" t="s">
        <v>29</v>
      </c>
      <c r="H379" s="15" t="s">
        <v>118</v>
      </c>
      <c r="I379" s="14" t="s">
        <v>82</v>
      </c>
      <c r="J379" s="16">
        <v>156.0</v>
      </c>
      <c r="K379" s="16">
        <v>156.0</v>
      </c>
      <c r="L379" s="16">
        <v>0.0</v>
      </c>
      <c r="M379" s="16">
        <v>156.0</v>
      </c>
      <c r="N379" s="14" t="s">
        <v>83</v>
      </c>
      <c r="O379" s="15"/>
    </row>
    <row r="380" ht="15.75" customHeight="1">
      <c r="A380" s="13">
        <v>46052.0</v>
      </c>
      <c r="B380" s="14" t="s">
        <v>653</v>
      </c>
      <c r="C380" s="14" t="s">
        <v>638</v>
      </c>
      <c r="D380" s="14" t="s">
        <v>79</v>
      </c>
      <c r="E380" s="15" t="s">
        <v>654</v>
      </c>
      <c r="F380" s="15" t="s">
        <v>41</v>
      </c>
      <c r="G380" s="15" t="s">
        <v>18</v>
      </c>
      <c r="H380" s="15" t="s">
        <v>251</v>
      </c>
      <c r="I380" s="14" t="s">
        <v>82</v>
      </c>
      <c r="J380" s="16">
        <v>240.0</v>
      </c>
      <c r="K380" s="16">
        <v>240.0</v>
      </c>
      <c r="L380" s="16">
        <v>0.0</v>
      </c>
      <c r="M380" s="16">
        <v>240.0</v>
      </c>
      <c r="N380" s="14" t="s">
        <v>83</v>
      </c>
      <c r="O380" s="15"/>
    </row>
    <row r="381" ht="15.75" customHeight="1">
      <c r="A381" s="13">
        <v>46052.0</v>
      </c>
      <c r="B381" s="14" t="s">
        <v>655</v>
      </c>
      <c r="C381" s="14" t="s">
        <v>638</v>
      </c>
      <c r="D381" s="14" t="s">
        <v>79</v>
      </c>
      <c r="E381" s="15" t="s">
        <v>303</v>
      </c>
      <c r="F381" s="15" t="s">
        <v>41</v>
      </c>
      <c r="G381" s="15" t="s">
        <v>18</v>
      </c>
      <c r="H381" s="15" t="s">
        <v>251</v>
      </c>
      <c r="I381" s="14" t="s">
        <v>82</v>
      </c>
      <c r="J381" s="16">
        <v>574.0</v>
      </c>
      <c r="K381" s="16">
        <v>574.0</v>
      </c>
      <c r="L381" s="16">
        <v>0.0</v>
      </c>
      <c r="M381" s="16">
        <v>574.0</v>
      </c>
      <c r="N381" s="14" t="s">
        <v>83</v>
      </c>
      <c r="O381" s="15"/>
    </row>
    <row r="382" ht="15.75" customHeight="1">
      <c r="A382" s="13">
        <v>46053.0</v>
      </c>
      <c r="B382" s="14" t="s">
        <v>656</v>
      </c>
      <c r="C382" s="14" t="s">
        <v>638</v>
      </c>
      <c r="D382" s="14" t="s">
        <v>79</v>
      </c>
      <c r="E382" s="15" t="s">
        <v>247</v>
      </c>
      <c r="F382" s="15" t="s">
        <v>45</v>
      </c>
      <c r="G382" s="15" t="s">
        <v>15</v>
      </c>
      <c r="H382" s="15" t="s">
        <v>248</v>
      </c>
      <c r="I382" s="14" t="s">
        <v>82</v>
      </c>
      <c r="J382" s="16">
        <v>2155.41</v>
      </c>
      <c r="K382" s="16">
        <v>2155.41</v>
      </c>
      <c r="L382" s="16">
        <v>0.0</v>
      </c>
      <c r="M382" s="16">
        <v>2155.41</v>
      </c>
      <c r="N382" s="14" t="s">
        <v>83</v>
      </c>
      <c r="O382" s="15"/>
    </row>
    <row r="383" ht="15.75" customHeight="1">
      <c r="A383" s="13">
        <v>46054.0</v>
      </c>
      <c r="B383" s="14" t="s">
        <v>657</v>
      </c>
      <c r="C383" s="14" t="s">
        <v>638</v>
      </c>
      <c r="D383" s="14" t="s">
        <v>79</v>
      </c>
      <c r="E383" s="15" t="s">
        <v>247</v>
      </c>
      <c r="F383" s="15" t="s">
        <v>45</v>
      </c>
      <c r="G383" s="15" t="s">
        <v>15</v>
      </c>
      <c r="H383" s="15" t="s">
        <v>248</v>
      </c>
      <c r="I383" s="14" t="s">
        <v>82</v>
      </c>
      <c r="J383" s="16">
        <v>2065.37</v>
      </c>
      <c r="K383" s="16">
        <v>2065.37</v>
      </c>
      <c r="L383" s="16">
        <v>0.0</v>
      </c>
      <c r="M383" s="16">
        <v>2065.37</v>
      </c>
      <c r="N383" s="14" t="s">
        <v>83</v>
      </c>
      <c r="O383" s="15"/>
    </row>
    <row r="384" ht="15.75" customHeight="1">
      <c r="A384" s="13">
        <v>46054.0</v>
      </c>
      <c r="B384" s="14" t="s">
        <v>658</v>
      </c>
      <c r="C384" s="14" t="s">
        <v>638</v>
      </c>
      <c r="D384" s="14" t="s">
        <v>79</v>
      </c>
      <c r="E384" s="15" t="s">
        <v>303</v>
      </c>
      <c r="F384" s="15" t="s">
        <v>41</v>
      </c>
      <c r="G384" s="15" t="s">
        <v>18</v>
      </c>
      <c r="H384" s="15" t="s">
        <v>251</v>
      </c>
      <c r="I384" s="14" t="s">
        <v>82</v>
      </c>
      <c r="J384" s="16">
        <v>239.0</v>
      </c>
      <c r="K384" s="16">
        <v>239.0</v>
      </c>
      <c r="L384" s="16">
        <v>0.0</v>
      </c>
      <c r="M384" s="16">
        <v>239.0</v>
      </c>
      <c r="N384" s="14" t="s">
        <v>83</v>
      </c>
      <c r="O384" s="15"/>
    </row>
    <row r="385" ht="15.75" customHeight="1">
      <c r="A385" s="13">
        <v>46054.0</v>
      </c>
      <c r="B385" s="14" t="s">
        <v>659</v>
      </c>
      <c r="C385" s="14" t="s">
        <v>638</v>
      </c>
      <c r="D385" s="14" t="s">
        <v>79</v>
      </c>
      <c r="E385" s="15" t="s">
        <v>285</v>
      </c>
      <c r="F385" s="15" t="s">
        <v>51</v>
      </c>
      <c r="G385" s="15" t="s">
        <v>30</v>
      </c>
      <c r="H385" s="15" t="s">
        <v>81</v>
      </c>
      <c r="I385" s="14" t="s">
        <v>82</v>
      </c>
      <c r="J385" s="16">
        <v>649.0</v>
      </c>
      <c r="K385" s="16">
        <v>649.0</v>
      </c>
      <c r="L385" s="16">
        <v>0.0</v>
      </c>
      <c r="M385" s="16">
        <v>649.0</v>
      </c>
      <c r="N385" s="14" t="s">
        <v>83</v>
      </c>
      <c r="O385" s="15"/>
    </row>
    <row r="386" ht="15.75" customHeight="1">
      <c r="A386" s="13">
        <v>46054.0</v>
      </c>
      <c r="B386" s="14" t="s">
        <v>660</v>
      </c>
      <c r="C386" s="14" t="s">
        <v>638</v>
      </c>
      <c r="D386" s="14" t="s">
        <v>79</v>
      </c>
      <c r="E386" s="15" t="s">
        <v>661</v>
      </c>
      <c r="F386" s="15" t="s">
        <v>65</v>
      </c>
      <c r="G386" s="15" t="s">
        <v>52</v>
      </c>
      <c r="H386" s="15" t="s">
        <v>414</v>
      </c>
      <c r="I386" s="14" t="s">
        <v>82</v>
      </c>
      <c r="J386" s="16">
        <v>1335.89</v>
      </c>
      <c r="K386" s="16">
        <v>1335.89</v>
      </c>
      <c r="L386" s="16">
        <v>0.0</v>
      </c>
      <c r="M386" s="16">
        <v>1335.89</v>
      </c>
      <c r="N386" s="14" t="s">
        <v>83</v>
      </c>
      <c r="O386" s="15"/>
    </row>
    <row r="387" ht="15.75" customHeight="1">
      <c r="A387" s="13">
        <v>46054.0</v>
      </c>
      <c r="B387" s="14" t="s">
        <v>662</v>
      </c>
      <c r="C387" s="14" t="s">
        <v>638</v>
      </c>
      <c r="D387" s="14" t="s">
        <v>79</v>
      </c>
      <c r="E387" s="15" t="s">
        <v>247</v>
      </c>
      <c r="F387" s="15" t="s">
        <v>45</v>
      </c>
      <c r="G387" s="15" t="s">
        <v>15</v>
      </c>
      <c r="H387" s="15" t="s">
        <v>248</v>
      </c>
      <c r="I387" s="14" t="s">
        <v>82</v>
      </c>
      <c r="J387" s="16">
        <v>1504.59</v>
      </c>
      <c r="K387" s="16">
        <v>1504.59</v>
      </c>
      <c r="L387" s="16">
        <v>0.0</v>
      </c>
      <c r="M387" s="16">
        <v>1504.59</v>
      </c>
      <c r="N387" s="14" t="s">
        <v>83</v>
      </c>
      <c r="O387" s="15"/>
    </row>
    <row r="388" ht="15.75" customHeight="1">
      <c r="A388" s="13">
        <v>46054.0</v>
      </c>
      <c r="B388" s="14"/>
      <c r="C388" s="14" t="s">
        <v>638</v>
      </c>
      <c r="D388" s="14" t="s">
        <v>79</v>
      </c>
      <c r="E388" s="15" t="s">
        <v>247</v>
      </c>
      <c r="F388" s="15" t="s">
        <v>45</v>
      </c>
      <c r="G388" s="15" t="s">
        <v>15</v>
      </c>
      <c r="H388" s="15" t="s">
        <v>248</v>
      </c>
      <c r="I388" s="14" t="s">
        <v>175</v>
      </c>
      <c r="J388" s="16">
        <v>-2021.67</v>
      </c>
      <c r="K388" s="16">
        <v>0.0</v>
      </c>
      <c r="L388" s="16">
        <v>2021.67</v>
      </c>
      <c r="M388" s="16">
        <v>-2021.67</v>
      </c>
      <c r="N388" s="14" t="s">
        <v>83</v>
      </c>
      <c r="O388" s="15"/>
    </row>
    <row r="389" ht="15.75" customHeight="1">
      <c r="A389" s="13">
        <v>46054.0</v>
      </c>
      <c r="B389" s="14"/>
      <c r="C389" s="14" t="s">
        <v>638</v>
      </c>
      <c r="D389" s="14" t="s">
        <v>79</v>
      </c>
      <c r="E389" s="15" t="s">
        <v>247</v>
      </c>
      <c r="F389" s="15" t="s">
        <v>45</v>
      </c>
      <c r="G389" s="15" t="s">
        <v>15</v>
      </c>
      <c r="H389" s="15" t="s">
        <v>248</v>
      </c>
      <c r="I389" s="14" t="s">
        <v>175</v>
      </c>
      <c r="J389" s="16">
        <v>-133.74</v>
      </c>
      <c r="K389" s="16">
        <v>0.0</v>
      </c>
      <c r="L389" s="16">
        <v>133.74</v>
      </c>
      <c r="M389" s="16">
        <v>-133.74</v>
      </c>
      <c r="N389" s="14" t="s">
        <v>83</v>
      </c>
      <c r="O389" s="15"/>
    </row>
    <row r="390" ht="15.75" customHeight="1">
      <c r="A390" s="13">
        <v>46057.0</v>
      </c>
      <c r="B390" s="14" t="s">
        <v>663</v>
      </c>
      <c r="C390" s="14" t="s">
        <v>638</v>
      </c>
      <c r="D390" s="14" t="s">
        <v>79</v>
      </c>
      <c r="E390" s="15" t="s">
        <v>664</v>
      </c>
      <c r="F390" s="15" t="s">
        <v>101</v>
      </c>
      <c r="G390" s="15" t="s">
        <v>102</v>
      </c>
      <c r="H390" s="15" t="s">
        <v>101</v>
      </c>
      <c r="I390" s="14" t="s">
        <v>103</v>
      </c>
      <c r="J390" s="16">
        <v>-155137.0</v>
      </c>
      <c r="K390" s="16">
        <v>0.0</v>
      </c>
      <c r="L390" s="16">
        <v>0.0</v>
      </c>
      <c r="M390" s="16">
        <v>0.0</v>
      </c>
      <c r="N390" s="14" t="s">
        <v>83</v>
      </c>
      <c r="O390" s="15" t="s">
        <v>104</v>
      </c>
    </row>
    <row r="391" ht="15.75" customHeight="1">
      <c r="A391" s="13">
        <v>46057.0</v>
      </c>
      <c r="B391" s="14" t="s">
        <v>665</v>
      </c>
      <c r="C391" s="14" t="s">
        <v>638</v>
      </c>
      <c r="D391" s="14" t="s">
        <v>79</v>
      </c>
      <c r="E391" s="15" t="s">
        <v>666</v>
      </c>
      <c r="F391" s="15" t="s">
        <v>40</v>
      </c>
      <c r="G391" s="15" t="s">
        <v>21</v>
      </c>
      <c r="H391" s="15" t="s">
        <v>150</v>
      </c>
      <c r="I391" s="14" t="s">
        <v>82</v>
      </c>
      <c r="J391" s="16">
        <v>870.0</v>
      </c>
      <c r="K391" s="16">
        <v>870.0</v>
      </c>
      <c r="L391" s="16">
        <v>0.0</v>
      </c>
      <c r="M391" s="16">
        <v>870.0</v>
      </c>
      <c r="N391" s="14" t="s">
        <v>83</v>
      </c>
      <c r="O391" s="15"/>
    </row>
    <row r="392" ht="15.75" customHeight="1">
      <c r="A392" s="13">
        <v>46058.0</v>
      </c>
      <c r="B392" s="14" t="s">
        <v>667</v>
      </c>
      <c r="C392" s="14" t="s">
        <v>638</v>
      </c>
      <c r="D392" s="14" t="s">
        <v>79</v>
      </c>
      <c r="E392" s="15" t="s">
        <v>666</v>
      </c>
      <c r="F392" s="15" t="s">
        <v>40</v>
      </c>
      <c r="G392" s="15" t="s">
        <v>21</v>
      </c>
      <c r="H392" s="15" t="s">
        <v>150</v>
      </c>
      <c r="I392" s="14" t="s">
        <v>82</v>
      </c>
      <c r="J392" s="16">
        <v>1371.0</v>
      </c>
      <c r="K392" s="16">
        <v>1371.0</v>
      </c>
      <c r="L392" s="16">
        <v>0.0</v>
      </c>
      <c r="M392" s="16">
        <v>1371.0</v>
      </c>
      <c r="N392" s="14" t="s">
        <v>83</v>
      </c>
      <c r="O392" s="15"/>
    </row>
    <row r="393" ht="15.75" customHeight="1">
      <c r="A393" s="13">
        <v>46058.0</v>
      </c>
      <c r="B393" s="14" t="s">
        <v>668</v>
      </c>
      <c r="C393" s="14" t="s">
        <v>638</v>
      </c>
      <c r="D393" s="14" t="s">
        <v>79</v>
      </c>
      <c r="E393" s="15" t="s">
        <v>292</v>
      </c>
      <c r="F393" s="15" t="s">
        <v>51</v>
      </c>
      <c r="G393" s="15" t="s">
        <v>30</v>
      </c>
      <c r="H393" s="15" t="s">
        <v>81</v>
      </c>
      <c r="I393" s="14" t="s">
        <v>82</v>
      </c>
      <c r="J393" s="16">
        <v>299.0</v>
      </c>
      <c r="K393" s="16">
        <v>299.0</v>
      </c>
      <c r="L393" s="16">
        <v>0.0</v>
      </c>
      <c r="M393" s="16">
        <v>299.0</v>
      </c>
      <c r="N393" s="14" t="s">
        <v>83</v>
      </c>
      <c r="O393" s="15"/>
    </row>
    <row r="394" ht="15.75" customHeight="1">
      <c r="A394" s="13">
        <v>46059.0</v>
      </c>
      <c r="B394" s="14" t="s">
        <v>669</v>
      </c>
      <c r="C394" s="14" t="s">
        <v>638</v>
      </c>
      <c r="D394" s="14" t="s">
        <v>79</v>
      </c>
      <c r="E394" s="15" t="s">
        <v>303</v>
      </c>
      <c r="F394" s="15" t="s">
        <v>41</v>
      </c>
      <c r="G394" s="15" t="s">
        <v>18</v>
      </c>
      <c r="H394" s="15" t="s">
        <v>251</v>
      </c>
      <c r="I394" s="14" t="s">
        <v>82</v>
      </c>
      <c r="J394" s="16">
        <v>202.0</v>
      </c>
      <c r="K394" s="16">
        <v>202.0</v>
      </c>
      <c r="L394" s="16">
        <v>0.0</v>
      </c>
      <c r="M394" s="16">
        <v>202.0</v>
      </c>
      <c r="N394" s="14" t="s">
        <v>83</v>
      </c>
      <c r="O394" s="15"/>
    </row>
    <row r="395" ht="15.75" customHeight="1">
      <c r="A395" s="13">
        <v>46059.0</v>
      </c>
      <c r="B395" s="14" t="s">
        <v>670</v>
      </c>
      <c r="C395" s="14" t="s">
        <v>638</v>
      </c>
      <c r="D395" s="14" t="s">
        <v>79</v>
      </c>
      <c r="E395" s="15" t="s">
        <v>303</v>
      </c>
      <c r="F395" s="15" t="s">
        <v>41</v>
      </c>
      <c r="G395" s="15" t="s">
        <v>18</v>
      </c>
      <c r="H395" s="15" t="s">
        <v>251</v>
      </c>
      <c r="I395" s="14" t="s">
        <v>82</v>
      </c>
      <c r="J395" s="16">
        <v>574.0</v>
      </c>
      <c r="K395" s="16">
        <v>574.0</v>
      </c>
      <c r="L395" s="16">
        <v>0.0</v>
      </c>
      <c r="M395" s="16">
        <v>574.0</v>
      </c>
      <c r="N395" s="14" t="s">
        <v>83</v>
      </c>
      <c r="O395" s="15"/>
    </row>
    <row r="396" ht="15.75" customHeight="1">
      <c r="A396" s="13">
        <v>46059.0</v>
      </c>
      <c r="B396" s="14" t="s">
        <v>671</v>
      </c>
      <c r="C396" s="14" t="s">
        <v>638</v>
      </c>
      <c r="D396" s="14" t="s">
        <v>79</v>
      </c>
      <c r="E396" s="15" t="s">
        <v>412</v>
      </c>
      <c r="F396" s="15" t="s">
        <v>41</v>
      </c>
      <c r="G396" s="15" t="s">
        <v>18</v>
      </c>
      <c r="H396" s="15" t="s">
        <v>251</v>
      </c>
      <c r="I396" s="14" t="s">
        <v>82</v>
      </c>
      <c r="J396" s="16">
        <v>1230.0</v>
      </c>
      <c r="K396" s="16">
        <v>1230.0</v>
      </c>
      <c r="L396" s="16">
        <v>0.0</v>
      </c>
      <c r="M396" s="16">
        <v>1230.0</v>
      </c>
      <c r="N396" s="14" t="s">
        <v>83</v>
      </c>
      <c r="O396" s="15"/>
    </row>
    <row r="397" ht="15.75" customHeight="1">
      <c r="A397" s="13">
        <v>46060.0</v>
      </c>
      <c r="B397" s="14" t="s">
        <v>672</v>
      </c>
      <c r="C397" s="14" t="s">
        <v>638</v>
      </c>
      <c r="D397" s="14" t="s">
        <v>79</v>
      </c>
      <c r="E397" s="15" t="s">
        <v>412</v>
      </c>
      <c r="F397" s="15" t="s">
        <v>41</v>
      </c>
      <c r="G397" s="15" t="s">
        <v>18</v>
      </c>
      <c r="H397" s="15" t="s">
        <v>251</v>
      </c>
      <c r="I397" s="14" t="s">
        <v>82</v>
      </c>
      <c r="J397" s="16">
        <v>1097.0</v>
      </c>
      <c r="K397" s="16">
        <v>1097.0</v>
      </c>
      <c r="L397" s="16">
        <v>0.0</v>
      </c>
      <c r="M397" s="16">
        <v>1097.0</v>
      </c>
      <c r="N397" s="14" t="s">
        <v>83</v>
      </c>
      <c r="O397" s="15"/>
    </row>
    <row r="398" ht="15.75" customHeight="1">
      <c r="A398" s="13">
        <v>46060.0</v>
      </c>
      <c r="B398" s="14" t="s">
        <v>673</v>
      </c>
      <c r="C398" s="14" t="s">
        <v>638</v>
      </c>
      <c r="D398" s="14" t="s">
        <v>79</v>
      </c>
      <c r="E398" s="15" t="s">
        <v>303</v>
      </c>
      <c r="F398" s="15" t="s">
        <v>41</v>
      </c>
      <c r="G398" s="15" t="s">
        <v>18</v>
      </c>
      <c r="H398" s="15" t="s">
        <v>251</v>
      </c>
      <c r="I398" s="14" t="s">
        <v>82</v>
      </c>
      <c r="J398" s="16">
        <v>530.0</v>
      </c>
      <c r="K398" s="16">
        <v>530.0</v>
      </c>
      <c r="L398" s="16">
        <v>0.0</v>
      </c>
      <c r="M398" s="16">
        <v>530.0</v>
      </c>
      <c r="N398" s="14" t="s">
        <v>83</v>
      </c>
      <c r="O398" s="15"/>
    </row>
    <row r="399" ht="15.75" customHeight="1">
      <c r="A399" s="13">
        <v>46060.0</v>
      </c>
      <c r="B399" s="14" t="s">
        <v>674</v>
      </c>
      <c r="C399" s="14" t="s">
        <v>638</v>
      </c>
      <c r="D399" s="14" t="s">
        <v>79</v>
      </c>
      <c r="E399" s="15" t="s">
        <v>383</v>
      </c>
      <c r="F399" s="15" t="s">
        <v>44</v>
      </c>
      <c r="G399" s="15" t="s">
        <v>29</v>
      </c>
      <c r="H399" s="15" t="s">
        <v>118</v>
      </c>
      <c r="I399" s="14" t="s">
        <v>82</v>
      </c>
      <c r="J399" s="16">
        <v>138.0</v>
      </c>
      <c r="K399" s="16">
        <v>138.0</v>
      </c>
      <c r="L399" s="16">
        <v>0.0</v>
      </c>
      <c r="M399" s="16">
        <v>138.0</v>
      </c>
      <c r="N399" s="14" t="s">
        <v>83</v>
      </c>
      <c r="O399" s="15"/>
    </row>
    <row r="400" ht="15.75" customHeight="1">
      <c r="A400" s="13">
        <v>46061.0</v>
      </c>
      <c r="B400" s="14" t="s">
        <v>675</v>
      </c>
      <c r="C400" s="14" t="s">
        <v>638</v>
      </c>
      <c r="D400" s="14" t="s">
        <v>79</v>
      </c>
      <c r="E400" s="15" t="s">
        <v>303</v>
      </c>
      <c r="F400" s="15" t="s">
        <v>41</v>
      </c>
      <c r="G400" s="15" t="s">
        <v>18</v>
      </c>
      <c r="H400" s="15" t="s">
        <v>251</v>
      </c>
      <c r="I400" s="14" t="s">
        <v>82</v>
      </c>
      <c r="J400" s="16">
        <v>253.0</v>
      </c>
      <c r="K400" s="16">
        <v>253.0</v>
      </c>
      <c r="L400" s="16">
        <v>0.0</v>
      </c>
      <c r="M400" s="16">
        <v>253.0</v>
      </c>
      <c r="N400" s="14" t="s">
        <v>83</v>
      </c>
      <c r="O400" s="15"/>
    </row>
    <row r="401" ht="15.75" customHeight="1">
      <c r="A401" s="13">
        <v>46061.0</v>
      </c>
      <c r="B401" s="14" t="s">
        <v>676</v>
      </c>
      <c r="C401" s="14" t="s">
        <v>638</v>
      </c>
      <c r="D401" s="14" t="s">
        <v>79</v>
      </c>
      <c r="E401" s="15" t="s">
        <v>303</v>
      </c>
      <c r="F401" s="15" t="s">
        <v>41</v>
      </c>
      <c r="G401" s="15" t="s">
        <v>18</v>
      </c>
      <c r="H401" s="15" t="s">
        <v>251</v>
      </c>
      <c r="I401" s="14" t="s">
        <v>82</v>
      </c>
      <c r="J401" s="16">
        <v>229.0</v>
      </c>
      <c r="K401" s="16">
        <v>229.0</v>
      </c>
      <c r="L401" s="16">
        <v>0.0</v>
      </c>
      <c r="M401" s="16">
        <v>229.0</v>
      </c>
      <c r="N401" s="14" t="s">
        <v>83</v>
      </c>
      <c r="O401" s="15"/>
    </row>
    <row r="402" ht="15.75" customHeight="1">
      <c r="A402" s="13">
        <v>46062.0</v>
      </c>
      <c r="B402" s="14" t="s">
        <v>677</v>
      </c>
      <c r="C402" s="14" t="s">
        <v>638</v>
      </c>
      <c r="D402" s="14" t="s">
        <v>79</v>
      </c>
      <c r="E402" s="15" t="s">
        <v>678</v>
      </c>
      <c r="F402" s="15" t="s">
        <v>40</v>
      </c>
      <c r="G402" s="15" t="s">
        <v>21</v>
      </c>
      <c r="H402" s="15" t="s">
        <v>150</v>
      </c>
      <c r="I402" s="14" t="s">
        <v>82</v>
      </c>
      <c r="J402" s="16">
        <v>948.0</v>
      </c>
      <c r="K402" s="16">
        <v>948.0</v>
      </c>
      <c r="L402" s="16">
        <v>0.0</v>
      </c>
      <c r="M402" s="16">
        <v>948.0</v>
      </c>
      <c r="N402" s="14" t="s">
        <v>83</v>
      </c>
      <c r="O402" s="15"/>
    </row>
    <row r="403" ht="15.75" customHeight="1">
      <c r="A403" s="13">
        <v>46062.0</v>
      </c>
      <c r="B403" s="14" t="s">
        <v>679</v>
      </c>
      <c r="C403" s="14" t="s">
        <v>638</v>
      </c>
      <c r="D403" s="14" t="s">
        <v>79</v>
      </c>
      <c r="E403" s="15" t="s">
        <v>680</v>
      </c>
      <c r="F403" s="15" t="s">
        <v>65</v>
      </c>
      <c r="G403" s="15" t="s">
        <v>52</v>
      </c>
      <c r="H403" s="15" t="s">
        <v>414</v>
      </c>
      <c r="I403" s="14" t="s">
        <v>82</v>
      </c>
      <c r="J403" s="16">
        <v>1075.5</v>
      </c>
      <c r="K403" s="16">
        <v>1075.5</v>
      </c>
      <c r="L403" s="16">
        <v>0.0</v>
      </c>
      <c r="M403" s="16">
        <v>1075.5</v>
      </c>
      <c r="N403" s="14" t="s">
        <v>83</v>
      </c>
      <c r="O403" s="15"/>
    </row>
    <row r="404" ht="15.75" customHeight="1">
      <c r="A404" s="13">
        <v>46063.0</v>
      </c>
      <c r="B404" s="14" t="s">
        <v>681</v>
      </c>
      <c r="C404" s="14" t="s">
        <v>638</v>
      </c>
      <c r="D404" s="14" t="s">
        <v>79</v>
      </c>
      <c r="E404" s="15" t="s">
        <v>303</v>
      </c>
      <c r="F404" s="15" t="s">
        <v>41</v>
      </c>
      <c r="G404" s="15" t="s">
        <v>18</v>
      </c>
      <c r="H404" s="15" t="s">
        <v>251</v>
      </c>
      <c r="I404" s="14" t="s">
        <v>82</v>
      </c>
      <c r="J404" s="16">
        <v>445.0</v>
      </c>
      <c r="K404" s="16">
        <v>445.0</v>
      </c>
      <c r="L404" s="16">
        <v>0.0</v>
      </c>
      <c r="M404" s="16">
        <v>445.0</v>
      </c>
      <c r="N404" s="14" t="s">
        <v>83</v>
      </c>
      <c r="O404" s="15"/>
    </row>
    <row r="405" ht="15.75" customHeight="1">
      <c r="A405" s="13">
        <v>46064.0</v>
      </c>
      <c r="B405" s="14" t="s">
        <v>682</v>
      </c>
      <c r="C405" s="14" t="s">
        <v>638</v>
      </c>
      <c r="D405" s="14" t="s">
        <v>79</v>
      </c>
      <c r="E405" s="15" t="s">
        <v>303</v>
      </c>
      <c r="F405" s="15" t="s">
        <v>41</v>
      </c>
      <c r="G405" s="15" t="s">
        <v>18</v>
      </c>
      <c r="H405" s="15" t="s">
        <v>251</v>
      </c>
      <c r="I405" s="14" t="s">
        <v>82</v>
      </c>
      <c r="J405" s="16">
        <v>382.0</v>
      </c>
      <c r="K405" s="16">
        <v>382.0</v>
      </c>
      <c r="L405" s="16">
        <v>0.0</v>
      </c>
      <c r="M405" s="16">
        <v>382.0</v>
      </c>
      <c r="N405" s="14" t="s">
        <v>83</v>
      </c>
      <c r="O405" s="15"/>
    </row>
    <row r="406" ht="15.75" customHeight="1">
      <c r="A406" s="13">
        <v>46065.0</v>
      </c>
      <c r="B406" s="14" t="s">
        <v>683</v>
      </c>
      <c r="C406" s="14" t="s">
        <v>638</v>
      </c>
      <c r="D406" s="14" t="s">
        <v>79</v>
      </c>
      <c r="E406" s="15" t="s">
        <v>303</v>
      </c>
      <c r="F406" s="15" t="s">
        <v>41</v>
      </c>
      <c r="G406" s="15" t="s">
        <v>18</v>
      </c>
      <c r="H406" s="15" t="s">
        <v>251</v>
      </c>
      <c r="I406" s="14" t="s">
        <v>82</v>
      </c>
      <c r="J406" s="16">
        <v>476.0</v>
      </c>
      <c r="K406" s="16">
        <v>476.0</v>
      </c>
      <c r="L406" s="16">
        <v>0.0</v>
      </c>
      <c r="M406" s="16">
        <v>476.0</v>
      </c>
      <c r="N406" s="14" t="s">
        <v>83</v>
      </c>
      <c r="O406" s="15"/>
    </row>
    <row r="407" ht="15.75" customHeight="1">
      <c r="A407" s="13">
        <v>46066.0</v>
      </c>
      <c r="B407" s="14" t="s">
        <v>684</v>
      </c>
      <c r="C407" s="14" t="s">
        <v>638</v>
      </c>
      <c r="D407" s="14" t="s">
        <v>79</v>
      </c>
      <c r="E407" s="15" t="s">
        <v>412</v>
      </c>
      <c r="F407" s="15" t="s">
        <v>41</v>
      </c>
      <c r="G407" s="15" t="s">
        <v>18</v>
      </c>
      <c r="H407" s="15" t="s">
        <v>251</v>
      </c>
      <c r="I407" s="14" t="s">
        <v>82</v>
      </c>
      <c r="J407" s="16">
        <v>435.0</v>
      </c>
      <c r="K407" s="16">
        <v>435.0</v>
      </c>
      <c r="L407" s="16">
        <v>0.0</v>
      </c>
      <c r="M407" s="16">
        <v>435.0</v>
      </c>
      <c r="N407" s="14" t="s">
        <v>83</v>
      </c>
      <c r="O407" s="15"/>
    </row>
    <row r="408" ht="15.75" customHeight="1">
      <c r="A408" s="13">
        <v>46067.0</v>
      </c>
      <c r="B408" s="14" t="s">
        <v>685</v>
      </c>
      <c r="C408" s="14" t="s">
        <v>638</v>
      </c>
      <c r="D408" s="14" t="s">
        <v>79</v>
      </c>
      <c r="E408" s="15" t="s">
        <v>303</v>
      </c>
      <c r="F408" s="15" t="s">
        <v>41</v>
      </c>
      <c r="G408" s="15" t="s">
        <v>18</v>
      </c>
      <c r="H408" s="15" t="s">
        <v>251</v>
      </c>
      <c r="I408" s="14" t="s">
        <v>82</v>
      </c>
      <c r="J408" s="16">
        <v>350.0</v>
      </c>
      <c r="K408" s="16">
        <v>350.0</v>
      </c>
      <c r="L408" s="16">
        <v>0.0</v>
      </c>
      <c r="M408" s="16">
        <v>350.0</v>
      </c>
      <c r="N408" s="14" t="s">
        <v>83</v>
      </c>
      <c r="O408" s="15"/>
    </row>
    <row r="409" ht="15.75" customHeight="1">
      <c r="A409" s="13">
        <v>46067.0</v>
      </c>
      <c r="B409" s="14" t="s">
        <v>686</v>
      </c>
      <c r="C409" s="14" t="s">
        <v>638</v>
      </c>
      <c r="D409" s="14" t="s">
        <v>79</v>
      </c>
      <c r="E409" s="15" t="s">
        <v>412</v>
      </c>
      <c r="F409" s="15" t="s">
        <v>41</v>
      </c>
      <c r="G409" s="15" t="s">
        <v>18</v>
      </c>
      <c r="H409" s="15" t="s">
        <v>251</v>
      </c>
      <c r="I409" s="14" t="s">
        <v>82</v>
      </c>
      <c r="J409" s="16">
        <v>983.0</v>
      </c>
      <c r="K409" s="16">
        <v>983.0</v>
      </c>
      <c r="L409" s="16">
        <v>0.0</v>
      </c>
      <c r="M409" s="16">
        <v>983.0</v>
      </c>
      <c r="N409" s="14" t="s">
        <v>83</v>
      </c>
      <c r="O409" s="15"/>
    </row>
    <row r="410" ht="15.75" customHeight="1">
      <c r="A410" s="13">
        <v>46068.0</v>
      </c>
      <c r="B410" s="14" t="s">
        <v>687</v>
      </c>
      <c r="C410" s="14" t="s">
        <v>638</v>
      </c>
      <c r="D410" s="14" t="s">
        <v>79</v>
      </c>
      <c r="E410" s="15" t="s">
        <v>396</v>
      </c>
      <c r="F410" s="15" t="s">
        <v>41</v>
      </c>
      <c r="G410" s="15" t="s">
        <v>18</v>
      </c>
      <c r="H410" s="15" t="s">
        <v>251</v>
      </c>
      <c r="I410" s="14" t="s">
        <v>82</v>
      </c>
      <c r="J410" s="16">
        <v>1792.4</v>
      </c>
      <c r="K410" s="16">
        <v>1792.4</v>
      </c>
      <c r="L410" s="16">
        <v>0.0</v>
      </c>
      <c r="M410" s="16">
        <v>1792.4</v>
      </c>
      <c r="N410" s="14" t="s">
        <v>83</v>
      </c>
      <c r="O410" s="15"/>
    </row>
    <row r="411" ht="15.75" customHeight="1">
      <c r="A411" s="13">
        <v>46068.0</v>
      </c>
      <c r="B411" s="14" t="s">
        <v>688</v>
      </c>
      <c r="C411" s="14" t="s">
        <v>638</v>
      </c>
      <c r="D411" s="14" t="s">
        <v>79</v>
      </c>
      <c r="E411" s="15" t="s">
        <v>89</v>
      </c>
      <c r="F411" s="15" t="s">
        <v>37</v>
      </c>
      <c r="G411" s="15" t="s">
        <v>9</v>
      </c>
      <c r="H411" s="15" t="s">
        <v>90</v>
      </c>
      <c r="I411" s="14" t="s">
        <v>82</v>
      </c>
      <c r="J411" s="16">
        <v>7616.0</v>
      </c>
      <c r="K411" s="16">
        <v>7616.0</v>
      </c>
      <c r="L411" s="16">
        <v>0.0</v>
      </c>
      <c r="M411" s="16">
        <v>7616.0</v>
      </c>
      <c r="N411" s="14" t="s">
        <v>83</v>
      </c>
      <c r="O411" s="15"/>
    </row>
    <row r="412" ht="15.75" customHeight="1">
      <c r="A412" s="13">
        <v>46068.0</v>
      </c>
      <c r="B412" s="14" t="s">
        <v>689</v>
      </c>
      <c r="C412" s="14" t="s">
        <v>638</v>
      </c>
      <c r="D412" s="14" t="s">
        <v>79</v>
      </c>
      <c r="E412" s="15" t="s">
        <v>690</v>
      </c>
      <c r="F412" s="15" t="s">
        <v>690</v>
      </c>
      <c r="G412" s="15" t="s">
        <v>50</v>
      </c>
      <c r="H412" s="15" t="s">
        <v>113</v>
      </c>
      <c r="I412" s="14" t="s">
        <v>82</v>
      </c>
      <c r="J412" s="16">
        <v>699.0</v>
      </c>
      <c r="K412" s="16">
        <v>699.0</v>
      </c>
      <c r="L412" s="16">
        <v>0.0</v>
      </c>
      <c r="M412" s="16">
        <v>699.0</v>
      </c>
      <c r="N412" s="14" t="s">
        <v>114</v>
      </c>
      <c r="O412" s="15" t="s">
        <v>212</v>
      </c>
    </row>
    <row r="413" ht="15.75" customHeight="1">
      <c r="A413" s="13">
        <v>46069.0</v>
      </c>
      <c r="B413" s="14" t="s">
        <v>691</v>
      </c>
      <c r="C413" s="14" t="s">
        <v>638</v>
      </c>
      <c r="D413" s="14" t="s">
        <v>79</v>
      </c>
      <c r="E413" s="15" t="s">
        <v>692</v>
      </c>
      <c r="F413" s="15" t="s">
        <v>357</v>
      </c>
      <c r="G413" s="15" t="s">
        <v>54</v>
      </c>
      <c r="H413" s="15" t="s">
        <v>358</v>
      </c>
      <c r="I413" s="14" t="s">
        <v>82</v>
      </c>
      <c r="J413" s="16">
        <v>1008.0</v>
      </c>
      <c r="K413" s="16">
        <v>1008.0</v>
      </c>
      <c r="L413" s="16">
        <v>0.0</v>
      </c>
      <c r="M413" s="16">
        <v>1008.0</v>
      </c>
      <c r="N413" s="14" t="s">
        <v>83</v>
      </c>
      <c r="O413" s="15"/>
    </row>
    <row r="414" ht="15.75" customHeight="1">
      <c r="A414" s="13">
        <v>46072.0</v>
      </c>
      <c r="B414" s="14" t="s">
        <v>693</v>
      </c>
      <c r="C414" s="14" t="s">
        <v>638</v>
      </c>
      <c r="D414" s="14" t="s">
        <v>79</v>
      </c>
      <c r="E414" s="15" t="s">
        <v>412</v>
      </c>
      <c r="F414" s="15" t="s">
        <v>41</v>
      </c>
      <c r="G414" s="15" t="s">
        <v>18</v>
      </c>
      <c r="H414" s="15" t="s">
        <v>251</v>
      </c>
      <c r="I414" s="14" t="s">
        <v>82</v>
      </c>
      <c r="J414" s="16">
        <v>244.0</v>
      </c>
      <c r="K414" s="16">
        <v>244.0</v>
      </c>
      <c r="L414" s="16">
        <v>0.0</v>
      </c>
      <c r="M414" s="16">
        <v>244.0</v>
      </c>
      <c r="N414" s="14" t="s">
        <v>83</v>
      </c>
      <c r="O414" s="15"/>
    </row>
    <row r="415" ht="15.75" customHeight="1">
      <c r="A415" s="13">
        <v>46074.0</v>
      </c>
      <c r="B415" s="14" t="s">
        <v>694</v>
      </c>
      <c r="C415" s="14" t="s">
        <v>638</v>
      </c>
      <c r="D415" s="14" t="s">
        <v>79</v>
      </c>
      <c r="E415" s="15" t="s">
        <v>695</v>
      </c>
      <c r="F415" s="15" t="s">
        <v>40</v>
      </c>
      <c r="G415" s="15" t="s">
        <v>21</v>
      </c>
      <c r="H415" s="15" t="s">
        <v>150</v>
      </c>
      <c r="I415" s="14" t="s">
        <v>82</v>
      </c>
      <c r="J415" s="16">
        <v>1631.2</v>
      </c>
      <c r="K415" s="16">
        <v>1631.2</v>
      </c>
      <c r="L415" s="16">
        <v>0.0</v>
      </c>
      <c r="M415" s="16">
        <v>1631.2</v>
      </c>
      <c r="N415" s="14" t="s">
        <v>83</v>
      </c>
      <c r="O415" s="15"/>
    </row>
    <row r="416" ht="15.75" customHeight="1">
      <c r="A416" s="13">
        <v>46074.0</v>
      </c>
      <c r="B416" s="14" t="s">
        <v>696</v>
      </c>
      <c r="C416" s="14" t="s">
        <v>638</v>
      </c>
      <c r="D416" s="14" t="s">
        <v>79</v>
      </c>
      <c r="E416" s="15" t="s">
        <v>697</v>
      </c>
      <c r="F416" s="15" t="s">
        <v>41</v>
      </c>
      <c r="G416" s="15" t="s">
        <v>18</v>
      </c>
      <c r="H416" s="15" t="s">
        <v>251</v>
      </c>
      <c r="I416" s="14" t="s">
        <v>82</v>
      </c>
      <c r="J416" s="16">
        <v>384.0</v>
      </c>
      <c r="K416" s="16">
        <v>384.0</v>
      </c>
      <c r="L416" s="16">
        <v>0.0</v>
      </c>
      <c r="M416" s="16">
        <v>384.0</v>
      </c>
      <c r="N416" s="14" t="s">
        <v>83</v>
      </c>
      <c r="O416" s="15"/>
    </row>
    <row r="417" ht="15.75" customHeight="1">
      <c r="A417" s="13">
        <v>46075.0</v>
      </c>
      <c r="B417" s="14" t="s">
        <v>698</v>
      </c>
      <c r="C417" s="14" t="s">
        <v>638</v>
      </c>
      <c r="D417" s="14" t="s">
        <v>79</v>
      </c>
      <c r="E417" s="15" t="s">
        <v>378</v>
      </c>
      <c r="F417" s="15" t="s">
        <v>41</v>
      </c>
      <c r="G417" s="15" t="s">
        <v>18</v>
      </c>
      <c r="H417" s="15" t="s">
        <v>251</v>
      </c>
      <c r="I417" s="14" t="s">
        <v>82</v>
      </c>
      <c r="J417" s="16">
        <v>651.0</v>
      </c>
      <c r="K417" s="16">
        <v>651.0</v>
      </c>
      <c r="L417" s="16">
        <v>0.0</v>
      </c>
      <c r="M417" s="16">
        <v>651.0</v>
      </c>
      <c r="N417" s="14" t="s">
        <v>83</v>
      </c>
      <c r="O417" s="15"/>
    </row>
    <row r="418" ht="15.75" customHeight="1">
      <c r="A418" s="13">
        <v>46062.0</v>
      </c>
      <c r="B418" s="14" t="s">
        <v>699</v>
      </c>
      <c r="C418" s="14" t="s">
        <v>638</v>
      </c>
      <c r="D418" s="14" t="s">
        <v>160</v>
      </c>
      <c r="E418" s="15" t="s">
        <v>700</v>
      </c>
      <c r="F418" s="15" t="s">
        <v>40</v>
      </c>
      <c r="G418" s="15" t="s">
        <v>21</v>
      </c>
      <c r="H418" s="15" t="s">
        <v>150</v>
      </c>
      <c r="I418" s="14" t="s">
        <v>82</v>
      </c>
      <c r="J418" s="16">
        <v>13589.1</v>
      </c>
      <c r="K418" s="16">
        <v>13589.1</v>
      </c>
      <c r="L418" s="16">
        <v>0.0</v>
      </c>
      <c r="M418" s="16">
        <v>13589.1</v>
      </c>
      <c r="N418" s="14" t="s">
        <v>83</v>
      </c>
      <c r="O418" s="15"/>
    </row>
    <row r="419" ht="15.75" customHeight="1">
      <c r="A419" s="13">
        <v>46062.0</v>
      </c>
      <c r="B419" s="14" t="s">
        <v>701</v>
      </c>
      <c r="C419" s="14" t="s">
        <v>638</v>
      </c>
      <c r="D419" s="14" t="s">
        <v>160</v>
      </c>
      <c r="E419" s="15" t="s">
        <v>702</v>
      </c>
      <c r="F419" s="15" t="s">
        <v>39</v>
      </c>
      <c r="G419" s="15" t="s">
        <v>15</v>
      </c>
      <c r="H419" s="15" t="s">
        <v>156</v>
      </c>
      <c r="I419" s="14" t="s">
        <v>82</v>
      </c>
      <c r="J419" s="16">
        <v>2410.0</v>
      </c>
      <c r="K419" s="16">
        <v>2410.0</v>
      </c>
      <c r="L419" s="16">
        <v>0.0</v>
      </c>
      <c r="M419" s="16">
        <v>2410.0</v>
      </c>
      <c r="N419" s="14" t="s">
        <v>83</v>
      </c>
      <c r="O419" s="15"/>
    </row>
    <row r="420" ht="15.75" customHeight="1">
      <c r="A420" s="13">
        <v>46064.0</v>
      </c>
      <c r="B420" s="14" t="s">
        <v>703</v>
      </c>
      <c r="C420" s="14" t="s">
        <v>638</v>
      </c>
      <c r="D420" s="14" t="s">
        <v>160</v>
      </c>
      <c r="E420" s="15" t="s">
        <v>704</v>
      </c>
      <c r="F420" s="15" t="s">
        <v>42</v>
      </c>
      <c r="G420" s="15" t="s">
        <v>18</v>
      </c>
      <c r="H420" s="15" t="s">
        <v>128</v>
      </c>
      <c r="I420" s="14" t="s">
        <v>82</v>
      </c>
      <c r="J420" s="16">
        <v>1400.0</v>
      </c>
      <c r="K420" s="16">
        <v>1400.0</v>
      </c>
      <c r="L420" s="16">
        <v>0.0</v>
      </c>
      <c r="M420" s="16">
        <v>1400.0</v>
      </c>
      <c r="N420" s="14" t="s">
        <v>83</v>
      </c>
      <c r="O420" s="15"/>
    </row>
    <row r="421" ht="15.75" customHeight="1">
      <c r="A421" s="13">
        <v>46065.0</v>
      </c>
      <c r="B421" s="14" t="s">
        <v>705</v>
      </c>
      <c r="C421" s="14" t="s">
        <v>638</v>
      </c>
      <c r="D421" s="14" t="s">
        <v>160</v>
      </c>
      <c r="E421" s="15" t="s">
        <v>702</v>
      </c>
      <c r="F421" s="15" t="s">
        <v>39</v>
      </c>
      <c r="G421" s="15" t="s">
        <v>15</v>
      </c>
      <c r="H421" s="15" t="s">
        <v>156</v>
      </c>
      <c r="I421" s="14" t="s">
        <v>82</v>
      </c>
      <c r="J421" s="16">
        <v>8283.0</v>
      </c>
      <c r="K421" s="16">
        <v>8283.0</v>
      </c>
      <c r="L421" s="16">
        <v>0.0</v>
      </c>
      <c r="M421" s="16">
        <v>8283.0</v>
      </c>
      <c r="N421" s="14" t="s">
        <v>83</v>
      </c>
      <c r="O421" s="15"/>
    </row>
    <row r="422" ht="15.75" customHeight="1">
      <c r="A422" s="13">
        <v>46067.0</v>
      </c>
      <c r="B422" s="14" t="s">
        <v>706</v>
      </c>
      <c r="C422" s="14" t="s">
        <v>638</v>
      </c>
      <c r="D422" s="14" t="s">
        <v>126</v>
      </c>
      <c r="E422" s="15" t="s">
        <v>707</v>
      </c>
      <c r="F422" s="15" t="s">
        <v>25</v>
      </c>
      <c r="G422" s="15" t="s">
        <v>25</v>
      </c>
      <c r="H422" s="15" t="s">
        <v>366</v>
      </c>
      <c r="I422" s="14" t="s">
        <v>82</v>
      </c>
      <c r="J422" s="16">
        <v>5400.0</v>
      </c>
      <c r="K422" s="16">
        <v>5400.0</v>
      </c>
      <c r="L422" s="16">
        <v>0.0</v>
      </c>
      <c r="M422" s="16">
        <v>5400.0</v>
      </c>
      <c r="N422" s="14" t="s">
        <v>83</v>
      </c>
      <c r="O422" s="15"/>
    </row>
    <row r="423" ht="15.75" customHeight="1">
      <c r="A423" s="13">
        <v>46077.0</v>
      </c>
      <c r="B423" s="14" t="s">
        <v>708</v>
      </c>
      <c r="C423" s="14" t="s">
        <v>709</v>
      </c>
      <c r="D423" s="14" t="s">
        <v>79</v>
      </c>
      <c r="E423" s="15" t="s">
        <v>303</v>
      </c>
      <c r="F423" s="15" t="s">
        <v>41</v>
      </c>
      <c r="G423" s="15" t="s">
        <v>18</v>
      </c>
      <c r="H423" s="15" t="s">
        <v>251</v>
      </c>
      <c r="I423" s="14" t="s">
        <v>82</v>
      </c>
      <c r="J423" s="16">
        <v>261.0</v>
      </c>
      <c r="K423" s="16">
        <v>261.0</v>
      </c>
      <c r="L423" s="16">
        <v>0.0</v>
      </c>
      <c r="M423" s="16">
        <v>261.0</v>
      </c>
      <c r="N423" s="14" t="s">
        <v>83</v>
      </c>
      <c r="O423" s="15"/>
    </row>
    <row r="424" ht="15.75" customHeight="1">
      <c r="A424" s="13">
        <v>46078.0</v>
      </c>
      <c r="B424" s="14" t="s">
        <v>710</v>
      </c>
      <c r="C424" s="14" t="s">
        <v>709</v>
      </c>
      <c r="D424" s="14" t="s">
        <v>79</v>
      </c>
      <c r="E424" s="15" t="s">
        <v>523</v>
      </c>
      <c r="F424" s="15" t="s">
        <v>191</v>
      </c>
      <c r="G424" s="15" t="s">
        <v>56</v>
      </c>
      <c r="H424" s="15" t="s">
        <v>192</v>
      </c>
      <c r="I424" s="14" t="s">
        <v>82</v>
      </c>
      <c r="J424" s="16">
        <v>1789.0</v>
      </c>
      <c r="K424" s="16">
        <v>1789.0</v>
      </c>
      <c r="L424" s="16">
        <v>0.0</v>
      </c>
      <c r="M424" s="16">
        <v>1789.0</v>
      </c>
      <c r="N424" s="14" t="s">
        <v>83</v>
      </c>
      <c r="O424" s="15"/>
    </row>
    <row r="425" ht="15.75" customHeight="1">
      <c r="A425" s="13">
        <v>46079.0</v>
      </c>
      <c r="B425" s="14" t="s">
        <v>711</v>
      </c>
      <c r="C425" s="14" t="s">
        <v>709</v>
      </c>
      <c r="D425" s="14" t="s">
        <v>79</v>
      </c>
      <c r="E425" s="15" t="s">
        <v>495</v>
      </c>
      <c r="F425" s="15" t="s">
        <v>496</v>
      </c>
      <c r="G425" s="15" t="s">
        <v>56</v>
      </c>
      <c r="H425" s="15" t="s">
        <v>497</v>
      </c>
      <c r="I425" s="14" t="s">
        <v>82</v>
      </c>
      <c r="J425" s="16">
        <v>3599.0</v>
      </c>
      <c r="K425" s="16">
        <v>3599.0</v>
      </c>
      <c r="L425" s="16">
        <v>0.0</v>
      </c>
      <c r="M425" s="16">
        <v>3599.0</v>
      </c>
      <c r="N425" s="14" t="s">
        <v>83</v>
      </c>
      <c r="O425" s="15"/>
    </row>
    <row r="426" ht="15.75" customHeight="1">
      <c r="A426" s="13">
        <v>46080.0</v>
      </c>
      <c r="B426" s="14" t="s">
        <v>712</v>
      </c>
      <c r="C426" s="14" t="s">
        <v>709</v>
      </c>
      <c r="D426" s="14" t="s">
        <v>79</v>
      </c>
      <c r="E426" s="15" t="s">
        <v>378</v>
      </c>
      <c r="F426" s="15" t="s">
        <v>41</v>
      </c>
      <c r="G426" s="15" t="s">
        <v>18</v>
      </c>
      <c r="H426" s="15" t="s">
        <v>251</v>
      </c>
      <c r="I426" s="14" t="s">
        <v>82</v>
      </c>
      <c r="J426" s="16">
        <v>532.0</v>
      </c>
      <c r="K426" s="16">
        <v>532.0</v>
      </c>
      <c r="L426" s="16">
        <v>0.0</v>
      </c>
      <c r="M426" s="16">
        <v>532.0</v>
      </c>
      <c r="N426" s="14" t="s">
        <v>83</v>
      </c>
      <c r="O426" s="15"/>
    </row>
    <row r="427" ht="15.75" customHeight="1">
      <c r="A427" s="13">
        <v>46082.0</v>
      </c>
      <c r="B427" s="14" t="s">
        <v>713</v>
      </c>
      <c r="C427" s="14" t="s">
        <v>709</v>
      </c>
      <c r="D427" s="14" t="s">
        <v>79</v>
      </c>
      <c r="E427" s="15" t="s">
        <v>285</v>
      </c>
      <c r="F427" s="15" t="s">
        <v>51</v>
      </c>
      <c r="G427" s="15" t="s">
        <v>30</v>
      </c>
      <c r="H427" s="15" t="s">
        <v>81</v>
      </c>
      <c r="I427" s="14" t="s">
        <v>82</v>
      </c>
      <c r="J427" s="16">
        <v>649.0</v>
      </c>
      <c r="K427" s="16">
        <v>649.0</v>
      </c>
      <c r="L427" s="16">
        <v>0.0</v>
      </c>
      <c r="M427" s="16">
        <v>649.0</v>
      </c>
      <c r="N427" s="14" t="s">
        <v>83</v>
      </c>
      <c r="O427" s="15"/>
    </row>
    <row r="428" ht="15.75" customHeight="1">
      <c r="A428" s="13">
        <v>46083.0</v>
      </c>
      <c r="B428" s="14" t="s">
        <v>714</v>
      </c>
      <c r="C428" s="14" t="s">
        <v>709</v>
      </c>
      <c r="D428" s="14" t="s">
        <v>79</v>
      </c>
      <c r="E428" s="15" t="s">
        <v>89</v>
      </c>
      <c r="F428" s="15" t="s">
        <v>37</v>
      </c>
      <c r="G428" s="15" t="s">
        <v>9</v>
      </c>
      <c r="H428" s="15" t="s">
        <v>90</v>
      </c>
      <c r="I428" s="14" t="s">
        <v>82</v>
      </c>
      <c r="J428" s="16">
        <v>56432.0</v>
      </c>
      <c r="K428" s="16">
        <v>56432.0</v>
      </c>
      <c r="L428" s="16">
        <v>0.0</v>
      </c>
      <c r="M428" s="16">
        <v>56432.0</v>
      </c>
      <c r="N428" s="14" t="s">
        <v>83</v>
      </c>
      <c r="O428" s="15"/>
    </row>
    <row r="429" ht="15.75" customHeight="1">
      <c r="A429" s="13">
        <v>46083.0</v>
      </c>
      <c r="B429" s="14" t="s">
        <v>715</v>
      </c>
      <c r="C429" s="14" t="s">
        <v>709</v>
      </c>
      <c r="D429" s="14" t="s">
        <v>79</v>
      </c>
      <c r="E429" s="15" t="s">
        <v>303</v>
      </c>
      <c r="F429" s="15" t="s">
        <v>41</v>
      </c>
      <c r="G429" s="15" t="s">
        <v>18</v>
      </c>
      <c r="H429" s="15" t="s">
        <v>251</v>
      </c>
      <c r="I429" s="14" t="s">
        <v>82</v>
      </c>
      <c r="J429" s="16">
        <v>708.0</v>
      </c>
      <c r="K429" s="16">
        <v>708.0</v>
      </c>
      <c r="L429" s="16">
        <v>0.0</v>
      </c>
      <c r="M429" s="16">
        <v>708.0</v>
      </c>
      <c r="N429" s="14" t="s">
        <v>83</v>
      </c>
      <c r="O429" s="15"/>
    </row>
    <row r="430" ht="15.75" customHeight="1">
      <c r="A430" s="13">
        <v>46085.0</v>
      </c>
      <c r="B430" s="14" t="s">
        <v>716</v>
      </c>
      <c r="C430" s="14" t="s">
        <v>709</v>
      </c>
      <c r="D430" s="14" t="s">
        <v>79</v>
      </c>
      <c r="E430" s="15" t="s">
        <v>322</v>
      </c>
      <c r="F430" s="15" t="s">
        <v>121</v>
      </c>
      <c r="G430" s="15" t="s">
        <v>62</v>
      </c>
      <c r="H430" s="15" t="s">
        <v>122</v>
      </c>
      <c r="I430" s="14" t="s">
        <v>82</v>
      </c>
      <c r="J430" s="16">
        <v>120.0</v>
      </c>
      <c r="K430" s="16">
        <v>120.0</v>
      </c>
      <c r="L430" s="16">
        <v>0.0</v>
      </c>
      <c r="M430" s="16">
        <v>120.0</v>
      </c>
      <c r="N430" s="14" t="s">
        <v>97</v>
      </c>
      <c r="O430" s="15" t="s">
        <v>123</v>
      </c>
    </row>
    <row r="431" ht="15.75" customHeight="1">
      <c r="A431" s="13">
        <v>46085.0</v>
      </c>
      <c r="B431" s="14" t="s">
        <v>717</v>
      </c>
      <c r="C431" s="14" t="s">
        <v>709</v>
      </c>
      <c r="D431" s="14" t="s">
        <v>79</v>
      </c>
      <c r="E431" s="15" t="s">
        <v>412</v>
      </c>
      <c r="F431" s="15" t="s">
        <v>41</v>
      </c>
      <c r="G431" s="15" t="s">
        <v>18</v>
      </c>
      <c r="H431" s="15" t="s">
        <v>251</v>
      </c>
      <c r="I431" s="14" t="s">
        <v>82</v>
      </c>
      <c r="J431" s="16">
        <v>572.0</v>
      </c>
      <c r="K431" s="16">
        <v>572.0</v>
      </c>
      <c r="L431" s="16">
        <v>0.0</v>
      </c>
      <c r="M431" s="16">
        <v>572.0</v>
      </c>
      <c r="N431" s="14" t="s">
        <v>83</v>
      </c>
      <c r="O431" s="15"/>
    </row>
    <row r="432" ht="15.75" customHeight="1">
      <c r="A432" s="13">
        <v>46085.0</v>
      </c>
      <c r="B432" s="14" t="s">
        <v>718</v>
      </c>
      <c r="C432" s="14" t="s">
        <v>709</v>
      </c>
      <c r="D432" s="14" t="s">
        <v>79</v>
      </c>
      <c r="E432" s="15" t="s">
        <v>719</v>
      </c>
      <c r="F432" s="15" t="s">
        <v>101</v>
      </c>
      <c r="G432" s="15" t="s">
        <v>102</v>
      </c>
      <c r="H432" s="15" t="s">
        <v>101</v>
      </c>
      <c r="I432" s="14" t="s">
        <v>103</v>
      </c>
      <c r="J432" s="16">
        <v>-125395.0</v>
      </c>
      <c r="K432" s="16">
        <v>0.0</v>
      </c>
      <c r="L432" s="16">
        <v>0.0</v>
      </c>
      <c r="M432" s="16">
        <v>0.0</v>
      </c>
      <c r="N432" s="14" t="s">
        <v>83</v>
      </c>
      <c r="O432" s="15" t="s">
        <v>104</v>
      </c>
    </row>
    <row r="433" ht="15.75" customHeight="1">
      <c r="A433" s="13">
        <v>46085.0</v>
      </c>
      <c r="B433" s="14" t="s">
        <v>720</v>
      </c>
      <c r="C433" s="14" t="s">
        <v>709</v>
      </c>
      <c r="D433" s="14" t="s">
        <v>79</v>
      </c>
      <c r="E433" s="15" t="s">
        <v>604</v>
      </c>
      <c r="F433" s="15" t="s">
        <v>565</v>
      </c>
      <c r="G433" s="15" t="s">
        <v>9</v>
      </c>
      <c r="H433" s="15" t="s">
        <v>90</v>
      </c>
      <c r="I433" s="14" t="s">
        <v>82</v>
      </c>
      <c r="J433" s="16">
        <v>387.0</v>
      </c>
      <c r="K433" s="16">
        <v>387.0</v>
      </c>
      <c r="L433" s="16">
        <v>0.0</v>
      </c>
      <c r="M433" s="16">
        <v>387.0</v>
      </c>
      <c r="N433" s="14" t="s">
        <v>83</v>
      </c>
      <c r="O433" s="15"/>
    </row>
    <row r="434" ht="15.75" customHeight="1">
      <c r="A434" s="13">
        <v>46086.0</v>
      </c>
      <c r="B434" s="14" t="s">
        <v>721</v>
      </c>
      <c r="C434" s="14" t="s">
        <v>709</v>
      </c>
      <c r="D434" s="14" t="s">
        <v>79</v>
      </c>
      <c r="E434" s="15" t="s">
        <v>292</v>
      </c>
      <c r="F434" s="15" t="s">
        <v>51</v>
      </c>
      <c r="G434" s="15" t="s">
        <v>30</v>
      </c>
      <c r="H434" s="15" t="s">
        <v>81</v>
      </c>
      <c r="I434" s="14" t="s">
        <v>82</v>
      </c>
      <c r="J434" s="16">
        <v>299.0</v>
      </c>
      <c r="K434" s="16">
        <v>299.0</v>
      </c>
      <c r="L434" s="16">
        <v>0.0</v>
      </c>
      <c r="M434" s="16">
        <v>299.0</v>
      </c>
      <c r="N434" s="14" t="s">
        <v>83</v>
      </c>
      <c r="O434" s="15"/>
    </row>
    <row r="435" ht="15.75" customHeight="1">
      <c r="A435" s="13">
        <v>46087.0</v>
      </c>
      <c r="B435" s="14" t="s">
        <v>722</v>
      </c>
      <c r="C435" s="14" t="s">
        <v>709</v>
      </c>
      <c r="D435" s="14" t="s">
        <v>79</v>
      </c>
      <c r="E435" s="15" t="s">
        <v>461</v>
      </c>
      <c r="F435" s="15" t="s">
        <v>41</v>
      </c>
      <c r="G435" s="15" t="s">
        <v>18</v>
      </c>
      <c r="H435" s="15" t="s">
        <v>251</v>
      </c>
      <c r="I435" s="14" t="s">
        <v>82</v>
      </c>
      <c r="J435" s="16">
        <v>220.0</v>
      </c>
      <c r="K435" s="16">
        <v>220.0</v>
      </c>
      <c r="L435" s="16">
        <v>0.0</v>
      </c>
      <c r="M435" s="16">
        <v>220.0</v>
      </c>
      <c r="N435" s="14" t="s">
        <v>83</v>
      </c>
      <c r="O435" s="15"/>
    </row>
    <row r="436" ht="15.75" customHeight="1">
      <c r="A436" s="13">
        <v>46088.0</v>
      </c>
      <c r="B436" s="14" t="s">
        <v>723</v>
      </c>
      <c r="C436" s="14" t="s">
        <v>709</v>
      </c>
      <c r="D436" s="14" t="s">
        <v>79</v>
      </c>
      <c r="E436" s="15" t="s">
        <v>567</v>
      </c>
      <c r="F436" s="15" t="s">
        <v>39</v>
      </c>
      <c r="G436" s="15" t="s">
        <v>15</v>
      </c>
      <c r="H436" s="15" t="s">
        <v>156</v>
      </c>
      <c r="I436" s="14" t="s">
        <v>82</v>
      </c>
      <c r="J436" s="16">
        <v>335.9</v>
      </c>
      <c r="K436" s="16">
        <v>335.9</v>
      </c>
      <c r="L436" s="16">
        <v>0.0</v>
      </c>
      <c r="M436" s="16">
        <v>335.9</v>
      </c>
      <c r="N436" s="14" t="s">
        <v>83</v>
      </c>
      <c r="O436" s="15"/>
    </row>
    <row r="437" ht="15.75" customHeight="1">
      <c r="A437" s="13">
        <v>46088.0</v>
      </c>
      <c r="B437" s="14"/>
      <c r="C437" s="14" t="s">
        <v>709</v>
      </c>
      <c r="D437" s="14" t="s">
        <v>79</v>
      </c>
      <c r="E437" s="15" t="s">
        <v>247</v>
      </c>
      <c r="F437" s="15" t="s">
        <v>45</v>
      </c>
      <c r="G437" s="15" t="s">
        <v>15</v>
      </c>
      <c r="H437" s="15" t="s">
        <v>248</v>
      </c>
      <c r="I437" s="14" t="s">
        <v>175</v>
      </c>
      <c r="J437" s="16">
        <v>-28.85</v>
      </c>
      <c r="K437" s="16">
        <v>0.0</v>
      </c>
      <c r="L437" s="16">
        <v>28.85</v>
      </c>
      <c r="M437" s="16">
        <v>-28.85</v>
      </c>
      <c r="N437" s="14" t="s">
        <v>83</v>
      </c>
      <c r="O437" s="15"/>
    </row>
    <row r="438" ht="15.75" customHeight="1">
      <c r="A438" s="13">
        <v>46088.0</v>
      </c>
      <c r="B438" s="14" t="s">
        <v>724</v>
      </c>
      <c r="C438" s="14" t="s">
        <v>709</v>
      </c>
      <c r="D438" s="14" t="s">
        <v>79</v>
      </c>
      <c r="E438" s="15" t="s">
        <v>247</v>
      </c>
      <c r="F438" s="15" t="s">
        <v>45</v>
      </c>
      <c r="G438" s="15" t="s">
        <v>15</v>
      </c>
      <c r="H438" s="15" t="s">
        <v>248</v>
      </c>
      <c r="I438" s="14" t="s">
        <v>82</v>
      </c>
      <c r="J438" s="16">
        <v>11369.74</v>
      </c>
      <c r="K438" s="16">
        <v>11369.74</v>
      </c>
      <c r="L438" s="16">
        <v>0.0</v>
      </c>
      <c r="M438" s="16">
        <v>11369.74</v>
      </c>
      <c r="N438" s="14" t="s">
        <v>83</v>
      </c>
      <c r="O438" s="15"/>
    </row>
    <row r="439" ht="15.75" customHeight="1">
      <c r="A439" s="13">
        <v>46088.0</v>
      </c>
      <c r="B439" s="14" t="s">
        <v>725</v>
      </c>
      <c r="C439" s="14" t="s">
        <v>709</v>
      </c>
      <c r="D439" s="14" t="s">
        <v>79</v>
      </c>
      <c r="E439" s="15" t="s">
        <v>726</v>
      </c>
      <c r="F439" s="15" t="s">
        <v>65</v>
      </c>
      <c r="G439" s="15" t="s">
        <v>52</v>
      </c>
      <c r="H439" s="15" t="s">
        <v>414</v>
      </c>
      <c r="I439" s="14" t="s">
        <v>82</v>
      </c>
      <c r="J439" s="16">
        <v>2444.72</v>
      </c>
      <c r="K439" s="16">
        <v>2444.72</v>
      </c>
      <c r="L439" s="16">
        <v>0.0</v>
      </c>
      <c r="M439" s="16">
        <v>2444.72</v>
      </c>
      <c r="N439" s="14" t="s">
        <v>83</v>
      </c>
      <c r="O439" s="15"/>
    </row>
    <row r="440" ht="15.75" customHeight="1">
      <c r="A440" s="13">
        <v>46088.0</v>
      </c>
      <c r="B440" s="14" t="s">
        <v>727</v>
      </c>
      <c r="C440" s="14" t="s">
        <v>709</v>
      </c>
      <c r="D440" s="14" t="s">
        <v>79</v>
      </c>
      <c r="E440" s="15" t="s">
        <v>247</v>
      </c>
      <c r="F440" s="15" t="s">
        <v>45</v>
      </c>
      <c r="G440" s="15" t="s">
        <v>15</v>
      </c>
      <c r="H440" s="15" t="s">
        <v>248</v>
      </c>
      <c r="I440" s="14" t="s">
        <v>82</v>
      </c>
      <c r="J440" s="16">
        <v>6112.87</v>
      </c>
      <c r="K440" s="16">
        <v>6112.87</v>
      </c>
      <c r="L440" s="16">
        <v>0.0</v>
      </c>
      <c r="M440" s="16">
        <v>6112.87</v>
      </c>
      <c r="N440" s="14" t="s">
        <v>83</v>
      </c>
      <c r="O440" s="15"/>
    </row>
    <row r="441" ht="15.75" customHeight="1">
      <c r="A441" s="13">
        <v>46088.0</v>
      </c>
      <c r="B441" s="14" t="s">
        <v>728</v>
      </c>
      <c r="C441" s="14" t="s">
        <v>709</v>
      </c>
      <c r="D441" s="14" t="s">
        <v>79</v>
      </c>
      <c r="E441" s="15" t="s">
        <v>247</v>
      </c>
      <c r="F441" s="15" t="s">
        <v>45</v>
      </c>
      <c r="G441" s="15" t="s">
        <v>15</v>
      </c>
      <c r="H441" s="15" t="s">
        <v>248</v>
      </c>
      <c r="I441" s="14" t="s">
        <v>82</v>
      </c>
      <c r="J441" s="16">
        <v>4561.09</v>
      </c>
      <c r="K441" s="16">
        <v>4561.09</v>
      </c>
      <c r="L441" s="16">
        <v>0.0</v>
      </c>
      <c r="M441" s="16">
        <v>4561.09</v>
      </c>
      <c r="N441" s="14" t="s">
        <v>83</v>
      </c>
      <c r="O441" s="15"/>
    </row>
    <row r="442" ht="15.75" customHeight="1">
      <c r="A442" s="13">
        <v>46089.0</v>
      </c>
      <c r="B442" s="14" t="s">
        <v>729</v>
      </c>
      <c r="C442" s="14" t="s">
        <v>709</v>
      </c>
      <c r="D442" s="14" t="s">
        <v>79</v>
      </c>
      <c r="E442" s="15" t="s">
        <v>303</v>
      </c>
      <c r="F442" s="15" t="s">
        <v>41</v>
      </c>
      <c r="G442" s="15" t="s">
        <v>18</v>
      </c>
      <c r="H442" s="15" t="s">
        <v>251</v>
      </c>
      <c r="I442" s="14" t="s">
        <v>82</v>
      </c>
      <c r="J442" s="16">
        <v>599.0</v>
      </c>
      <c r="K442" s="16">
        <v>599.0</v>
      </c>
      <c r="L442" s="16">
        <v>0.0</v>
      </c>
      <c r="M442" s="16">
        <v>599.0</v>
      </c>
      <c r="N442" s="14" t="s">
        <v>83</v>
      </c>
      <c r="O442" s="15"/>
    </row>
    <row r="443" ht="15.75" customHeight="1">
      <c r="A443" s="13">
        <v>46090.0</v>
      </c>
      <c r="B443" s="14" t="s">
        <v>730</v>
      </c>
      <c r="C443" s="14" t="s">
        <v>709</v>
      </c>
      <c r="D443" s="14" t="s">
        <v>79</v>
      </c>
      <c r="E443" s="15" t="s">
        <v>89</v>
      </c>
      <c r="F443" s="15" t="s">
        <v>37</v>
      </c>
      <c r="G443" s="15" t="s">
        <v>9</v>
      </c>
      <c r="H443" s="15" t="s">
        <v>90</v>
      </c>
      <c r="I443" s="14" t="s">
        <v>82</v>
      </c>
      <c r="J443" s="16">
        <v>81156.0</v>
      </c>
      <c r="K443" s="16">
        <v>81156.0</v>
      </c>
      <c r="L443" s="16">
        <v>0.0</v>
      </c>
      <c r="M443" s="16">
        <v>81156.0</v>
      </c>
      <c r="N443" s="14" t="s">
        <v>83</v>
      </c>
      <c r="O443" s="15"/>
    </row>
    <row r="444" ht="15.75" customHeight="1">
      <c r="A444" s="13">
        <v>46091.0</v>
      </c>
      <c r="B444" s="14" t="s">
        <v>731</v>
      </c>
      <c r="C444" s="14" t="s">
        <v>709</v>
      </c>
      <c r="D444" s="14" t="s">
        <v>79</v>
      </c>
      <c r="E444" s="15" t="s">
        <v>732</v>
      </c>
      <c r="F444" s="15" t="s">
        <v>42</v>
      </c>
      <c r="G444" s="15" t="s">
        <v>18</v>
      </c>
      <c r="H444" s="15" t="s">
        <v>128</v>
      </c>
      <c r="I444" s="14" t="s">
        <v>82</v>
      </c>
      <c r="J444" s="16">
        <v>518.0</v>
      </c>
      <c r="K444" s="16">
        <v>518.0</v>
      </c>
      <c r="L444" s="16">
        <v>0.0</v>
      </c>
      <c r="M444" s="16">
        <v>518.0</v>
      </c>
      <c r="N444" s="14" t="s">
        <v>83</v>
      </c>
      <c r="O444" s="15"/>
    </row>
    <row r="445" ht="15.75" customHeight="1">
      <c r="A445" s="13">
        <v>46091.0</v>
      </c>
      <c r="B445" s="14" t="s">
        <v>733</v>
      </c>
      <c r="C445" s="14" t="s">
        <v>709</v>
      </c>
      <c r="D445" s="14" t="s">
        <v>79</v>
      </c>
      <c r="E445" s="15" t="s">
        <v>732</v>
      </c>
      <c r="F445" s="15" t="s">
        <v>42</v>
      </c>
      <c r="G445" s="15" t="s">
        <v>18</v>
      </c>
      <c r="H445" s="15" t="s">
        <v>128</v>
      </c>
      <c r="I445" s="14" t="s">
        <v>82</v>
      </c>
      <c r="J445" s="16">
        <v>366.0</v>
      </c>
      <c r="K445" s="16">
        <v>366.0</v>
      </c>
      <c r="L445" s="16">
        <v>0.0</v>
      </c>
      <c r="M445" s="16">
        <v>366.0</v>
      </c>
      <c r="N445" s="14" t="s">
        <v>83</v>
      </c>
      <c r="O445" s="15"/>
    </row>
    <row r="446" ht="15.75" customHeight="1">
      <c r="A446" s="13">
        <v>46092.0</v>
      </c>
      <c r="B446" s="14" t="s">
        <v>734</v>
      </c>
      <c r="C446" s="14" t="s">
        <v>709</v>
      </c>
      <c r="D446" s="14" t="s">
        <v>79</v>
      </c>
      <c r="E446" s="15" t="s">
        <v>303</v>
      </c>
      <c r="F446" s="15" t="s">
        <v>41</v>
      </c>
      <c r="G446" s="15" t="s">
        <v>18</v>
      </c>
      <c r="H446" s="15" t="s">
        <v>251</v>
      </c>
      <c r="I446" s="14" t="s">
        <v>82</v>
      </c>
      <c r="J446" s="16">
        <v>367.0</v>
      </c>
      <c r="K446" s="16">
        <v>367.0</v>
      </c>
      <c r="L446" s="16">
        <v>0.0</v>
      </c>
      <c r="M446" s="16">
        <v>367.0</v>
      </c>
      <c r="N446" s="14" t="s">
        <v>83</v>
      </c>
      <c r="O446" s="15"/>
    </row>
    <row r="447" ht="15.75" customHeight="1">
      <c r="A447" s="13">
        <v>46093.0</v>
      </c>
      <c r="B447" s="14" t="s">
        <v>735</v>
      </c>
      <c r="C447" s="14" t="s">
        <v>709</v>
      </c>
      <c r="D447" s="14" t="s">
        <v>79</v>
      </c>
      <c r="E447" s="15" t="s">
        <v>736</v>
      </c>
      <c r="F447" s="15" t="s">
        <v>51</v>
      </c>
      <c r="G447" s="15" t="s">
        <v>30</v>
      </c>
      <c r="H447" s="15" t="s">
        <v>81</v>
      </c>
      <c r="I447" s="14" t="s">
        <v>82</v>
      </c>
      <c r="J447" s="16">
        <v>279.0</v>
      </c>
      <c r="K447" s="16">
        <v>279.0</v>
      </c>
      <c r="L447" s="16">
        <v>0.0</v>
      </c>
      <c r="M447" s="16">
        <v>279.0</v>
      </c>
      <c r="N447" s="14" t="s">
        <v>83</v>
      </c>
      <c r="O447" s="15"/>
    </row>
    <row r="448" ht="15.75" customHeight="1">
      <c r="A448" s="13">
        <v>46093.0</v>
      </c>
      <c r="B448" s="14" t="s">
        <v>737</v>
      </c>
      <c r="C448" s="14" t="s">
        <v>709</v>
      </c>
      <c r="D448" s="14" t="s">
        <v>79</v>
      </c>
      <c r="E448" s="15" t="s">
        <v>642</v>
      </c>
      <c r="F448" s="15" t="s">
        <v>53</v>
      </c>
      <c r="G448" s="15" t="s">
        <v>36</v>
      </c>
      <c r="H448" s="15" t="s">
        <v>217</v>
      </c>
      <c r="I448" s="14" t="s">
        <v>82</v>
      </c>
      <c r="J448" s="16">
        <v>2059.0</v>
      </c>
      <c r="K448" s="16">
        <v>2059.0</v>
      </c>
      <c r="L448" s="16">
        <v>0.0</v>
      </c>
      <c r="M448" s="16">
        <v>2059.0</v>
      </c>
      <c r="N448" s="14" t="s">
        <v>97</v>
      </c>
      <c r="O448" s="15" t="s">
        <v>218</v>
      </c>
    </row>
    <row r="449" ht="15.75" customHeight="1">
      <c r="A449" s="13">
        <v>46093.0</v>
      </c>
      <c r="B449" s="14" t="s">
        <v>738</v>
      </c>
      <c r="C449" s="14" t="s">
        <v>709</v>
      </c>
      <c r="D449" s="14" t="s">
        <v>79</v>
      </c>
      <c r="E449" s="15" t="s">
        <v>732</v>
      </c>
      <c r="F449" s="15" t="s">
        <v>42</v>
      </c>
      <c r="G449" s="15" t="s">
        <v>18</v>
      </c>
      <c r="H449" s="15" t="s">
        <v>128</v>
      </c>
      <c r="I449" s="14" t="s">
        <v>82</v>
      </c>
      <c r="J449" s="16">
        <v>1561.37</v>
      </c>
      <c r="K449" s="16">
        <v>1561.37</v>
      </c>
      <c r="L449" s="16">
        <v>0.0</v>
      </c>
      <c r="M449" s="16">
        <v>1561.37</v>
      </c>
      <c r="N449" s="14" t="s">
        <v>83</v>
      </c>
      <c r="O449" s="15"/>
    </row>
    <row r="450" ht="15.75" customHeight="1">
      <c r="A450" s="13">
        <v>46095.0</v>
      </c>
      <c r="B450" s="14"/>
      <c r="C450" s="14" t="s">
        <v>709</v>
      </c>
      <c r="D450" s="14" t="s">
        <v>79</v>
      </c>
      <c r="E450" s="15" t="s">
        <v>739</v>
      </c>
      <c r="F450" s="15" t="s">
        <v>198</v>
      </c>
      <c r="G450" s="15" t="s">
        <v>64</v>
      </c>
      <c r="H450" s="15" t="s">
        <v>199</v>
      </c>
      <c r="I450" s="14" t="s">
        <v>82</v>
      </c>
      <c r="J450" s="16">
        <v>2.79</v>
      </c>
      <c r="K450" s="16">
        <v>2.79</v>
      </c>
      <c r="L450" s="16">
        <v>0.0</v>
      </c>
      <c r="M450" s="16">
        <v>2.79</v>
      </c>
      <c r="N450" s="14" t="s">
        <v>83</v>
      </c>
      <c r="O450" s="15"/>
    </row>
    <row r="451" ht="15.75" customHeight="1">
      <c r="A451" s="13">
        <v>46095.0</v>
      </c>
      <c r="B451" s="14"/>
      <c r="C451" s="14" t="s">
        <v>709</v>
      </c>
      <c r="D451" s="14" t="s">
        <v>79</v>
      </c>
      <c r="E451" s="15" t="s">
        <v>740</v>
      </c>
      <c r="F451" s="15" t="s">
        <v>198</v>
      </c>
      <c r="G451" s="15" t="s">
        <v>64</v>
      </c>
      <c r="H451" s="15" t="s">
        <v>199</v>
      </c>
      <c r="I451" s="14" t="s">
        <v>82</v>
      </c>
      <c r="J451" s="16">
        <v>0.5</v>
      </c>
      <c r="K451" s="16">
        <v>0.5</v>
      </c>
      <c r="L451" s="16">
        <v>0.0</v>
      </c>
      <c r="M451" s="16">
        <v>0.5</v>
      </c>
      <c r="N451" s="14" t="s">
        <v>83</v>
      </c>
      <c r="O451" s="15"/>
    </row>
    <row r="452" ht="15.75" customHeight="1">
      <c r="A452" s="13">
        <v>46095.0</v>
      </c>
      <c r="B452" s="14" t="s">
        <v>741</v>
      </c>
      <c r="C452" s="14" t="s">
        <v>709</v>
      </c>
      <c r="D452" s="14" t="s">
        <v>79</v>
      </c>
      <c r="E452" s="15" t="s">
        <v>742</v>
      </c>
      <c r="F452" s="15" t="s">
        <v>40</v>
      </c>
      <c r="G452" s="15" t="s">
        <v>21</v>
      </c>
      <c r="H452" s="15" t="s">
        <v>150</v>
      </c>
      <c r="I452" s="14" t="s">
        <v>82</v>
      </c>
      <c r="J452" s="16">
        <v>1054.0</v>
      </c>
      <c r="K452" s="16">
        <v>1054.0</v>
      </c>
      <c r="L452" s="16">
        <v>0.0</v>
      </c>
      <c r="M452" s="16">
        <v>1054.0</v>
      </c>
      <c r="N452" s="14" t="s">
        <v>83</v>
      </c>
      <c r="O452" s="15"/>
    </row>
    <row r="453" ht="15.75" customHeight="1">
      <c r="A453" s="13">
        <v>46096.0</v>
      </c>
      <c r="B453" s="14" t="s">
        <v>743</v>
      </c>
      <c r="C453" s="14" t="s">
        <v>709</v>
      </c>
      <c r="D453" s="14" t="s">
        <v>79</v>
      </c>
      <c r="E453" s="15" t="s">
        <v>383</v>
      </c>
      <c r="F453" s="15" t="s">
        <v>44</v>
      </c>
      <c r="G453" s="15" t="s">
        <v>29</v>
      </c>
      <c r="H453" s="15" t="s">
        <v>118</v>
      </c>
      <c r="I453" s="14" t="s">
        <v>82</v>
      </c>
      <c r="J453" s="16">
        <v>154.0</v>
      </c>
      <c r="K453" s="16">
        <v>154.0</v>
      </c>
      <c r="L453" s="16">
        <v>0.0</v>
      </c>
      <c r="M453" s="16">
        <v>154.0</v>
      </c>
      <c r="N453" s="14" t="s">
        <v>83</v>
      </c>
      <c r="O453" s="15"/>
    </row>
    <row r="454" ht="15.75" customHeight="1">
      <c r="A454" s="13">
        <v>46096.0</v>
      </c>
      <c r="B454" s="14" t="s">
        <v>744</v>
      </c>
      <c r="C454" s="14" t="s">
        <v>709</v>
      </c>
      <c r="D454" s="14" t="s">
        <v>79</v>
      </c>
      <c r="E454" s="15" t="s">
        <v>303</v>
      </c>
      <c r="F454" s="15" t="s">
        <v>41</v>
      </c>
      <c r="G454" s="15" t="s">
        <v>18</v>
      </c>
      <c r="H454" s="15" t="s">
        <v>251</v>
      </c>
      <c r="I454" s="14" t="s">
        <v>82</v>
      </c>
      <c r="J454" s="16">
        <v>274.0</v>
      </c>
      <c r="K454" s="16">
        <v>274.0</v>
      </c>
      <c r="L454" s="16">
        <v>0.0</v>
      </c>
      <c r="M454" s="16">
        <v>274.0</v>
      </c>
      <c r="N454" s="14" t="s">
        <v>83</v>
      </c>
      <c r="O454" s="15"/>
    </row>
    <row r="455" ht="15.75" customHeight="1">
      <c r="A455" s="13">
        <v>46096.0</v>
      </c>
      <c r="B455" s="14" t="s">
        <v>745</v>
      </c>
      <c r="C455" s="14" t="s">
        <v>709</v>
      </c>
      <c r="D455" s="14" t="s">
        <v>79</v>
      </c>
      <c r="E455" s="15" t="s">
        <v>117</v>
      </c>
      <c r="F455" s="15" t="s">
        <v>44</v>
      </c>
      <c r="G455" s="15" t="s">
        <v>29</v>
      </c>
      <c r="H455" s="15" t="s">
        <v>118</v>
      </c>
      <c r="I455" s="14" t="s">
        <v>82</v>
      </c>
      <c r="J455" s="16">
        <v>431.0</v>
      </c>
      <c r="K455" s="16">
        <v>431.0</v>
      </c>
      <c r="L455" s="16">
        <v>0.0</v>
      </c>
      <c r="M455" s="16">
        <v>431.0</v>
      </c>
      <c r="N455" s="14" t="s">
        <v>83</v>
      </c>
      <c r="O455" s="15"/>
    </row>
    <row r="456" ht="15.75" customHeight="1">
      <c r="A456" s="13">
        <v>46097.0</v>
      </c>
      <c r="B456" s="14" t="s">
        <v>746</v>
      </c>
      <c r="C456" s="14" t="s">
        <v>709</v>
      </c>
      <c r="D456" s="14" t="s">
        <v>79</v>
      </c>
      <c r="E456" s="15" t="s">
        <v>747</v>
      </c>
      <c r="F456" s="15" t="s">
        <v>357</v>
      </c>
      <c r="G456" s="15" t="s">
        <v>54</v>
      </c>
      <c r="H456" s="15" t="s">
        <v>358</v>
      </c>
      <c r="I456" s="14" t="s">
        <v>82</v>
      </c>
      <c r="J456" s="16">
        <v>3640.0</v>
      </c>
      <c r="K456" s="16">
        <v>3640.0</v>
      </c>
      <c r="L456" s="16">
        <v>0.0</v>
      </c>
      <c r="M456" s="16">
        <v>3640.0</v>
      </c>
      <c r="N456" s="14" t="s">
        <v>83</v>
      </c>
      <c r="O456" s="15"/>
    </row>
    <row r="457" ht="15.75" customHeight="1">
      <c r="A457" s="13">
        <v>46097.0</v>
      </c>
      <c r="B457" s="14" t="s">
        <v>748</v>
      </c>
      <c r="C457" s="14" t="s">
        <v>709</v>
      </c>
      <c r="D457" s="14" t="s">
        <v>79</v>
      </c>
      <c r="E457" s="15" t="s">
        <v>209</v>
      </c>
      <c r="F457" s="15" t="s">
        <v>42</v>
      </c>
      <c r="G457" s="15" t="s">
        <v>18</v>
      </c>
      <c r="H457" s="15" t="s">
        <v>128</v>
      </c>
      <c r="I457" s="14" t="s">
        <v>82</v>
      </c>
      <c r="J457" s="16">
        <v>410.0</v>
      </c>
      <c r="K457" s="16">
        <v>410.0</v>
      </c>
      <c r="L457" s="16">
        <v>0.0</v>
      </c>
      <c r="M457" s="16">
        <v>410.0</v>
      </c>
      <c r="N457" s="14" t="s">
        <v>83</v>
      </c>
      <c r="O457" s="15"/>
    </row>
    <row r="458" ht="15.75" customHeight="1">
      <c r="A458" s="13">
        <v>46097.0</v>
      </c>
      <c r="B458" s="14" t="s">
        <v>749</v>
      </c>
      <c r="C458" s="14" t="s">
        <v>709</v>
      </c>
      <c r="D458" s="14" t="s">
        <v>79</v>
      </c>
      <c r="E458" s="15" t="s">
        <v>750</v>
      </c>
      <c r="F458" s="15" t="s">
        <v>42</v>
      </c>
      <c r="G458" s="15" t="s">
        <v>18</v>
      </c>
      <c r="H458" s="15" t="s">
        <v>128</v>
      </c>
      <c r="I458" s="14" t="s">
        <v>82</v>
      </c>
      <c r="J458" s="16">
        <v>690.0</v>
      </c>
      <c r="K458" s="16">
        <v>690.0</v>
      </c>
      <c r="L458" s="16">
        <v>0.0</v>
      </c>
      <c r="M458" s="16">
        <v>690.0</v>
      </c>
      <c r="N458" s="14" t="s">
        <v>83</v>
      </c>
      <c r="O458" s="15"/>
    </row>
    <row r="459" ht="15.75" customHeight="1">
      <c r="A459" s="13">
        <v>46097.0</v>
      </c>
      <c r="B459" s="14" t="s">
        <v>751</v>
      </c>
      <c r="C459" s="14" t="s">
        <v>709</v>
      </c>
      <c r="D459" s="14" t="s">
        <v>79</v>
      </c>
      <c r="E459" s="15" t="s">
        <v>412</v>
      </c>
      <c r="F459" s="15" t="s">
        <v>41</v>
      </c>
      <c r="G459" s="15" t="s">
        <v>18</v>
      </c>
      <c r="H459" s="15" t="s">
        <v>251</v>
      </c>
      <c r="I459" s="14" t="s">
        <v>82</v>
      </c>
      <c r="J459" s="16">
        <v>291.0</v>
      </c>
      <c r="K459" s="16">
        <v>291.0</v>
      </c>
      <c r="L459" s="16">
        <v>0.0</v>
      </c>
      <c r="M459" s="16">
        <v>291.0</v>
      </c>
      <c r="N459" s="14" t="s">
        <v>83</v>
      </c>
      <c r="O459" s="15"/>
    </row>
    <row r="460" ht="15.75" customHeight="1">
      <c r="A460" s="13">
        <v>46097.0</v>
      </c>
      <c r="B460" s="14" t="s">
        <v>752</v>
      </c>
      <c r="C460" s="14" t="s">
        <v>709</v>
      </c>
      <c r="D460" s="14" t="s">
        <v>79</v>
      </c>
      <c r="E460" s="15" t="s">
        <v>378</v>
      </c>
      <c r="F460" s="15" t="s">
        <v>41</v>
      </c>
      <c r="G460" s="15" t="s">
        <v>18</v>
      </c>
      <c r="H460" s="15" t="s">
        <v>251</v>
      </c>
      <c r="I460" s="14" t="s">
        <v>82</v>
      </c>
      <c r="J460" s="16">
        <v>1236.0</v>
      </c>
      <c r="K460" s="16">
        <v>1236.0</v>
      </c>
      <c r="L460" s="16">
        <v>0.0</v>
      </c>
      <c r="M460" s="16">
        <v>1236.0</v>
      </c>
      <c r="N460" s="14" t="s">
        <v>83</v>
      </c>
      <c r="O460" s="15"/>
    </row>
    <row r="461" ht="15.75" customHeight="1">
      <c r="A461" s="13">
        <v>46097.0</v>
      </c>
      <c r="B461" s="14" t="s">
        <v>753</v>
      </c>
      <c r="C461" s="14" t="s">
        <v>709</v>
      </c>
      <c r="D461" s="14" t="s">
        <v>79</v>
      </c>
      <c r="E461" s="15" t="s">
        <v>442</v>
      </c>
      <c r="F461" s="15" t="s">
        <v>65</v>
      </c>
      <c r="G461" s="15" t="s">
        <v>52</v>
      </c>
      <c r="H461" s="15" t="s">
        <v>414</v>
      </c>
      <c r="I461" s="14" t="s">
        <v>82</v>
      </c>
      <c r="J461" s="16">
        <v>652.0</v>
      </c>
      <c r="K461" s="16">
        <v>652.0</v>
      </c>
      <c r="L461" s="16">
        <v>0.0</v>
      </c>
      <c r="M461" s="16">
        <v>652.0</v>
      </c>
      <c r="N461" s="14" t="s">
        <v>83</v>
      </c>
      <c r="O461" s="15"/>
    </row>
    <row r="462" ht="15.75" customHeight="1">
      <c r="A462" s="13">
        <v>46097.0</v>
      </c>
      <c r="B462" s="14" t="s">
        <v>754</v>
      </c>
      <c r="C462" s="14" t="s">
        <v>709</v>
      </c>
      <c r="D462" s="14" t="s">
        <v>79</v>
      </c>
      <c r="E462" s="15" t="s">
        <v>303</v>
      </c>
      <c r="F462" s="15" t="s">
        <v>41</v>
      </c>
      <c r="G462" s="15" t="s">
        <v>18</v>
      </c>
      <c r="H462" s="15" t="s">
        <v>251</v>
      </c>
      <c r="I462" s="14" t="s">
        <v>82</v>
      </c>
      <c r="J462" s="16">
        <v>284.0</v>
      </c>
      <c r="K462" s="16">
        <v>284.0</v>
      </c>
      <c r="L462" s="16">
        <v>0.0</v>
      </c>
      <c r="M462" s="16">
        <v>284.0</v>
      </c>
      <c r="N462" s="14" t="s">
        <v>83</v>
      </c>
      <c r="O462" s="15"/>
    </row>
    <row r="463" ht="15.75" customHeight="1">
      <c r="A463" s="13">
        <v>46097.0</v>
      </c>
      <c r="B463" s="14" t="s">
        <v>755</v>
      </c>
      <c r="C463" s="14" t="s">
        <v>709</v>
      </c>
      <c r="D463" s="14" t="s">
        <v>79</v>
      </c>
      <c r="E463" s="15" t="s">
        <v>117</v>
      </c>
      <c r="F463" s="15" t="s">
        <v>44</v>
      </c>
      <c r="G463" s="15" t="s">
        <v>29</v>
      </c>
      <c r="H463" s="15" t="s">
        <v>118</v>
      </c>
      <c r="I463" s="14" t="s">
        <v>82</v>
      </c>
      <c r="J463" s="16">
        <v>747.0</v>
      </c>
      <c r="K463" s="16">
        <v>747.0</v>
      </c>
      <c r="L463" s="16">
        <v>0.0</v>
      </c>
      <c r="M463" s="16">
        <v>747.0</v>
      </c>
      <c r="N463" s="14" t="s">
        <v>83</v>
      </c>
      <c r="O463" s="15"/>
    </row>
    <row r="464" ht="15.75" customHeight="1">
      <c r="A464" s="13">
        <v>46098.0</v>
      </c>
      <c r="B464" s="14" t="s">
        <v>756</v>
      </c>
      <c r="C464" s="14" t="s">
        <v>709</v>
      </c>
      <c r="D464" s="14" t="s">
        <v>79</v>
      </c>
      <c r="E464" s="15" t="s">
        <v>548</v>
      </c>
      <c r="F464" s="15" t="s">
        <v>549</v>
      </c>
      <c r="G464" s="15" t="s">
        <v>15</v>
      </c>
      <c r="H464" s="15" t="s">
        <v>550</v>
      </c>
      <c r="I464" s="14" t="s">
        <v>82</v>
      </c>
      <c r="J464" s="16">
        <v>4159.0</v>
      </c>
      <c r="K464" s="16">
        <v>4159.0</v>
      </c>
      <c r="L464" s="16">
        <v>0.0</v>
      </c>
      <c r="M464" s="16">
        <v>4159.0</v>
      </c>
      <c r="N464" s="14" t="s">
        <v>83</v>
      </c>
      <c r="O464" s="15"/>
    </row>
    <row r="465" ht="15.75" customHeight="1">
      <c r="A465" s="13">
        <v>46098.0</v>
      </c>
      <c r="B465" s="14" t="s">
        <v>757</v>
      </c>
      <c r="C465" s="14" t="s">
        <v>709</v>
      </c>
      <c r="D465" s="14" t="s">
        <v>79</v>
      </c>
      <c r="E465" s="15" t="s">
        <v>303</v>
      </c>
      <c r="F465" s="15" t="s">
        <v>41</v>
      </c>
      <c r="G465" s="15" t="s">
        <v>18</v>
      </c>
      <c r="H465" s="15" t="s">
        <v>251</v>
      </c>
      <c r="I465" s="14" t="s">
        <v>82</v>
      </c>
      <c r="J465" s="16">
        <v>207.0</v>
      </c>
      <c r="K465" s="16">
        <v>207.0</v>
      </c>
      <c r="L465" s="16">
        <v>0.0</v>
      </c>
      <c r="M465" s="16">
        <v>207.0</v>
      </c>
      <c r="N465" s="14" t="s">
        <v>83</v>
      </c>
      <c r="O465" s="15"/>
    </row>
    <row r="466" ht="15.75" customHeight="1">
      <c r="A466" s="13">
        <v>46098.0</v>
      </c>
      <c r="B466" s="14" t="s">
        <v>758</v>
      </c>
      <c r="C466" s="14" t="s">
        <v>709</v>
      </c>
      <c r="D466" s="14" t="s">
        <v>79</v>
      </c>
      <c r="E466" s="15" t="s">
        <v>300</v>
      </c>
      <c r="F466" s="15" t="s">
        <v>63</v>
      </c>
      <c r="G466" s="15" t="s">
        <v>9</v>
      </c>
      <c r="H466" s="15" t="s">
        <v>301</v>
      </c>
      <c r="I466" s="14" t="s">
        <v>82</v>
      </c>
      <c r="J466" s="16">
        <v>7846.68</v>
      </c>
      <c r="K466" s="16">
        <v>7846.68</v>
      </c>
      <c r="L466" s="16">
        <v>0.0</v>
      </c>
      <c r="M466" s="16">
        <v>7846.68</v>
      </c>
      <c r="N466" s="14" t="s">
        <v>83</v>
      </c>
      <c r="O466" s="15"/>
    </row>
    <row r="467" ht="15.75" customHeight="1">
      <c r="A467" s="13">
        <v>46098.0</v>
      </c>
      <c r="B467" s="14" t="s">
        <v>759</v>
      </c>
      <c r="C467" s="14" t="s">
        <v>709</v>
      </c>
      <c r="D467" s="14" t="s">
        <v>79</v>
      </c>
      <c r="E467" s="15" t="s">
        <v>760</v>
      </c>
      <c r="F467" s="15" t="s">
        <v>41</v>
      </c>
      <c r="G467" s="15" t="s">
        <v>18</v>
      </c>
      <c r="H467" s="15" t="s">
        <v>251</v>
      </c>
      <c r="I467" s="14" t="s">
        <v>82</v>
      </c>
      <c r="J467" s="16">
        <v>3316.0</v>
      </c>
      <c r="K467" s="16">
        <v>3316.0</v>
      </c>
      <c r="L467" s="16">
        <v>0.0</v>
      </c>
      <c r="M467" s="16">
        <v>3316.0</v>
      </c>
      <c r="N467" s="14" t="s">
        <v>83</v>
      </c>
      <c r="O467" s="15"/>
    </row>
    <row r="468" ht="15.75" customHeight="1">
      <c r="A468" s="13">
        <v>46098.0</v>
      </c>
      <c r="B468" s="14" t="s">
        <v>761</v>
      </c>
      <c r="C468" s="14" t="s">
        <v>709</v>
      </c>
      <c r="D468" s="14" t="s">
        <v>79</v>
      </c>
      <c r="E468" s="15" t="s">
        <v>762</v>
      </c>
      <c r="F468" s="15" t="s">
        <v>763</v>
      </c>
      <c r="G468" s="15" t="s">
        <v>50</v>
      </c>
      <c r="H468" s="15" t="s">
        <v>113</v>
      </c>
      <c r="I468" s="14" t="s">
        <v>82</v>
      </c>
      <c r="J468" s="16">
        <v>4500.0</v>
      </c>
      <c r="K468" s="16">
        <v>4500.0</v>
      </c>
      <c r="L468" s="16">
        <v>0.0</v>
      </c>
      <c r="M468" s="16">
        <v>4500.0</v>
      </c>
      <c r="N468" s="14" t="s">
        <v>114</v>
      </c>
      <c r="O468" s="15" t="s">
        <v>764</v>
      </c>
    </row>
    <row r="469" ht="15.75" customHeight="1">
      <c r="A469" s="13">
        <v>46100.0</v>
      </c>
      <c r="B469" s="14"/>
      <c r="C469" s="14" t="s">
        <v>709</v>
      </c>
      <c r="D469" s="14" t="s">
        <v>79</v>
      </c>
      <c r="E469" s="15" t="s">
        <v>765</v>
      </c>
      <c r="F469" s="15" t="s">
        <v>198</v>
      </c>
      <c r="G469" s="15" t="s">
        <v>64</v>
      </c>
      <c r="H469" s="15" t="s">
        <v>199</v>
      </c>
      <c r="I469" s="14" t="s">
        <v>82</v>
      </c>
      <c r="J469" s="16">
        <v>24.79</v>
      </c>
      <c r="K469" s="16">
        <v>24.79</v>
      </c>
      <c r="L469" s="16">
        <v>0.0</v>
      </c>
      <c r="M469" s="16">
        <v>24.79</v>
      </c>
      <c r="N469" s="14" t="s">
        <v>83</v>
      </c>
      <c r="O469" s="15"/>
    </row>
    <row r="470" ht="15.75" customHeight="1">
      <c r="A470" s="13">
        <v>46104.0</v>
      </c>
      <c r="B470" s="14"/>
      <c r="C470" s="14" t="s">
        <v>709</v>
      </c>
      <c r="D470" s="14" t="s">
        <v>79</v>
      </c>
      <c r="E470" s="15" t="s">
        <v>766</v>
      </c>
      <c r="F470" s="15" t="s">
        <v>198</v>
      </c>
      <c r="G470" s="15" t="s">
        <v>64</v>
      </c>
      <c r="H470" s="15" t="s">
        <v>199</v>
      </c>
      <c r="I470" s="14" t="s">
        <v>82</v>
      </c>
      <c r="J470" s="16">
        <v>147.97</v>
      </c>
      <c r="K470" s="16">
        <v>147.97</v>
      </c>
      <c r="L470" s="16">
        <v>0.0</v>
      </c>
      <c r="M470" s="16">
        <v>147.97</v>
      </c>
      <c r="N470" s="14" t="s">
        <v>83</v>
      </c>
      <c r="O470" s="15"/>
    </row>
    <row r="471" ht="15.75" customHeight="1">
      <c r="A471" s="13">
        <v>46076.0</v>
      </c>
      <c r="B471" s="14" t="s">
        <v>767</v>
      </c>
      <c r="C471" s="14" t="s">
        <v>709</v>
      </c>
      <c r="D471" s="14" t="s">
        <v>160</v>
      </c>
      <c r="E471" s="15" t="s">
        <v>768</v>
      </c>
      <c r="F471" s="15" t="s">
        <v>40</v>
      </c>
      <c r="G471" s="15" t="s">
        <v>21</v>
      </c>
      <c r="H471" s="15" t="s">
        <v>150</v>
      </c>
      <c r="I471" s="14" t="s">
        <v>82</v>
      </c>
      <c r="J471" s="16">
        <v>13800.0</v>
      </c>
      <c r="K471" s="16">
        <v>13800.0</v>
      </c>
      <c r="L471" s="16">
        <v>0.0</v>
      </c>
      <c r="M471" s="16">
        <v>13800.0</v>
      </c>
      <c r="N471" s="14" t="s">
        <v>83</v>
      </c>
      <c r="O471" s="15"/>
    </row>
    <row r="472" ht="15.75" customHeight="1">
      <c r="A472" s="13">
        <v>46081.0</v>
      </c>
      <c r="B472" s="14" t="s">
        <v>769</v>
      </c>
      <c r="C472" s="14" t="s">
        <v>709</v>
      </c>
      <c r="D472" s="14" t="s">
        <v>160</v>
      </c>
      <c r="E472" s="15" t="s">
        <v>770</v>
      </c>
      <c r="F472" s="15" t="s">
        <v>40</v>
      </c>
      <c r="G472" s="15" t="s">
        <v>21</v>
      </c>
      <c r="H472" s="15" t="s">
        <v>150</v>
      </c>
      <c r="I472" s="14" t="s">
        <v>82</v>
      </c>
      <c r="J472" s="16">
        <v>4080.0</v>
      </c>
      <c r="K472" s="16">
        <v>4080.0</v>
      </c>
      <c r="L472" s="16">
        <v>0.0</v>
      </c>
      <c r="M472" s="16">
        <v>4080.0</v>
      </c>
      <c r="N472" s="14" t="s">
        <v>83</v>
      </c>
      <c r="O472" s="15"/>
    </row>
    <row r="473" ht="15.75" customHeight="1">
      <c r="A473" s="13">
        <v>46081.0</v>
      </c>
      <c r="B473" s="14" t="s">
        <v>771</v>
      </c>
      <c r="C473" s="14" t="s">
        <v>709</v>
      </c>
      <c r="D473" s="14" t="s">
        <v>160</v>
      </c>
      <c r="E473" s="15" t="s">
        <v>772</v>
      </c>
      <c r="F473" s="15" t="s">
        <v>40</v>
      </c>
      <c r="G473" s="15" t="s">
        <v>21</v>
      </c>
      <c r="H473" s="15" t="s">
        <v>150</v>
      </c>
      <c r="I473" s="14" t="s">
        <v>82</v>
      </c>
      <c r="J473" s="16">
        <v>4400.0</v>
      </c>
      <c r="K473" s="16">
        <v>4400.0</v>
      </c>
      <c r="L473" s="16">
        <v>0.0</v>
      </c>
      <c r="M473" s="16">
        <v>4400.0</v>
      </c>
      <c r="N473" s="14" t="s">
        <v>83</v>
      </c>
      <c r="O473" s="15"/>
    </row>
    <row r="474" ht="15.75" customHeight="1">
      <c r="A474" s="13">
        <v>46089.0</v>
      </c>
      <c r="B474" s="14" t="s">
        <v>773</v>
      </c>
      <c r="C474" s="14" t="s">
        <v>709</v>
      </c>
      <c r="D474" s="14" t="s">
        <v>126</v>
      </c>
      <c r="E474" s="15" t="s">
        <v>774</v>
      </c>
      <c r="F474" s="15" t="s">
        <v>65</v>
      </c>
      <c r="G474" s="15" t="s">
        <v>52</v>
      </c>
      <c r="H474" s="15" t="s">
        <v>414</v>
      </c>
      <c r="I474" s="14" t="s">
        <v>82</v>
      </c>
      <c r="J474" s="16">
        <v>3250.0</v>
      </c>
      <c r="K474" s="16">
        <v>3250.0</v>
      </c>
      <c r="L474" s="16">
        <v>0.0</v>
      </c>
      <c r="M474" s="16">
        <v>3250.0</v>
      </c>
      <c r="N474" s="14" t="s">
        <v>83</v>
      </c>
      <c r="O474" s="15"/>
    </row>
    <row r="475" ht="15.75" customHeight="1">
      <c r="A475" s="13">
        <v>46100.0</v>
      </c>
      <c r="B475" s="14" t="s">
        <v>775</v>
      </c>
      <c r="C475" s="14" t="s">
        <v>709</v>
      </c>
      <c r="D475" s="14" t="s">
        <v>79</v>
      </c>
      <c r="E475" s="15" t="s">
        <v>776</v>
      </c>
      <c r="F475" s="15" t="s">
        <v>777</v>
      </c>
      <c r="G475" s="15" t="s">
        <v>9</v>
      </c>
      <c r="H475" s="15" t="s">
        <v>778</v>
      </c>
      <c r="I475" s="14" t="s">
        <v>82</v>
      </c>
      <c r="J475" s="16">
        <v>6887.22</v>
      </c>
      <c r="K475" s="16">
        <v>6887.22</v>
      </c>
      <c r="L475" s="16">
        <v>0.0</v>
      </c>
      <c r="M475" s="16">
        <v>6887.22</v>
      </c>
      <c r="N475" s="14" t="s">
        <v>83</v>
      </c>
      <c r="O475" s="15" t="s">
        <v>779</v>
      </c>
    </row>
    <row r="476" ht="15.75" customHeight="1">
      <c r="A476" s="13">
        <v>46104.0</v>
      </c>
      <c r="B476" s="14" t="s">
        <v>780</v>
      </c>
      <c r="C476" s="14" t="s">
        <v>709</v>
      </c>
      <c r="D476" s="14" t="s">
        <v>79</v>
      </c>
      <c r="E476" s="15" t="s">
        <v>781</v>
      </c>
      <c r="F476" s="15" t="s">
        <v>65</v>
      </c>
      <c r="G476" s="15" t="s">
        <v>52</v>
      </c>
      <c r="H476" s="15" t="s">
        <v>414</v>
      </c>
      <c r="I476" s="14" t="s">
        <v>82</v>
      </c>
      <c r="J476" s="16">
        <v>511.45</v>
      </c>
      <c r="K476" s="16">
        <v>511.45</v>
      </c>
      <c r="L476" s="16">
        <v>0.0</v>
      </c>
      <c r="M476" s="16">
        <v>511.45</v>
      </c>
      <c r="N476" s="14" t="s">
        <v>83</v>
      </c>
      <c r="O476" s="15"/>
    </row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10.75"/>
    <col customWidth="1" min="3" max="3" width="12.38"/>
    <col customWidth="1" min="4" max="4" width="12.75"/>
    <col customWidth="1" min="5" max="5" width="9.25"/>
    <col customWidth="1" min="6" max="6" width="11.13"/>
    <col customWidth="1" min="7" max="7" width="9.5"/>
    <col customWidth="1" min="8" max="26" width="8.63"/>
  </cols>
  <sheetData>
    <row r="1" ht="15.0" customHeight="1">
      <c r="A1" s="12" t="s">
        <v>5</v>
      </c>
      <c r="B1" s="12" t="s">
        <v>34</v>
      </c>
      <c r="C1" s="12" t="s">
        <v>782</v>
      </c>
      <c r="D1" s="12" t="s">
        <v>31</v>
      </c>
      <c r="E1" s="12" t="s">
        <v>32</v>
      </c>
      <c r="F1" s="12" t="s">
        <v>6</v>
      </c>
      <c r="G1" s="12" t="s">
        <v>33</v>
      </c>
    </row>
    <row r="2" ht="15.0" customHeight="1">
      <c r="A2" s="14" t="s">
        <v>9</v>
      </c>
      <c r="B2" s="14">
        <v>33.0</v>
      </c>
      <c r="C2" s="14">
        <v>31.0</v>
      </c>
      <c r="D2" s="16">
        <v>418897.3</v>
      </c>
      <c r="E2" s="16">
        <v>3842.0</v>
      </c>
      <c r="F2" s="16">
        <v>415055.3</v>
      </c>
      <c r="G2" s="17">
        <v>0.2726343332278653</v>
      </c>
    </row>
    <row r="3" ht="15.0" customHeight="1">
      <c r="A3" s="14" t="s">
        <v>12</v>
      </c>
      <c r="B3" s="14">
        <v>3.0</v>
      </c>
      <c r="C3" s="14">
        <v>3.0</v>
      </c>
      <c r="D3" s="16">
        <v>219857.0</v>
      </c>
      <c r="E3" s="16">
        <v>0.0</v>
      </c>
      <c r="F3" s="16">
        <v>219857.0</v>
      </c>
      <c r="G3" s="17">
        <v>0.1444158563942655</v>
      </c>
    </row>
    <row r="4" ht="15.0" customHeight="1">
      <c r="A4" s="14" t="s">
        <v>15</v>
      </c>
      <c r="B4" s="14">
        <v>59.0</v>
      </c>
      <c r="C4" s="14">
        <v>53.0</v>
      </c>
      <c r="D4" s="16">
        <v>223706.06</v>
      </c>
      <c r="E4" s="16">
        <v>11711.56</v>
      </c>
      <c r="F4" s="16">
        <v>211994.5</v>
      </c>
      <c r="G4" s="17">
        <v>0.13925127363865655</v>
      </c>
    </row>
    <row r="5" ht="15.0" customHeight="1">
      <c r="A5" s="14" t="s">
        <v>18</v>
      </c>
      <c r="B5" s="14">
        <v>172.0</v>
      </c>
      <c r="C5" s="14">
        <v>170.0</v>
      </c>
      <c r="D5" s="16">
        <v>175803.56</v>
      </c>
      <c r="E5" s="16">
        <v>1394.0</v>
      </c>
      <c r="F5" s="16">
        <v>174409.56</v>
      </c>
      <c r="G5" s="17">
        <v>0.114563129537595</v>
      </c>
    </row>
    <row r="6" ht="15.0" customHeight="1">
      <c r="A6" s="14" t="s">
        <v>21</v>
      </c>
      <c r="B6" s="14">
        <v>29.0</v>
      </c>
      <c r="C6" s="14">
        <v>28.0</v>
      </c>
      <c r="D6" s="16">
        <v>120272.18</v>
      </c>
      <c r="E6" s="16">
        <v>1714.0</v>
      </c>
      <c r="F6" s="16">
        <v>118558.18</v>
      </c>
      <c r="G6" s="17">
        <v>0.07787644285715478</v>
      </c>
    </row>
    <row r="7" ht="15.0" customHeight="1">
      <c r="A7" s="14" t="s">
        <v>25</v>
      </c>
      <c r="B7" s="14">
        <v>4.0</v>
      </c>
      <c r="C7" s="14">
        <v>4.0</v>
      </c>
      <c r="D7" s="16">
        <v>83700.0</v>
      </c>
      <c r="E7" s="16">
        <v>0.0</v>
      </c>
      <c r="F7" s="16">
        <v>83700.0</v>
      </c>
      <c r="G7" s="17">
        <v>0.05497940561455865</v>
      </c>
    </row>
    <row r="8" ht="15.0" customHeight="1">
      <c r="A8" s="14" t="s">
        <v>26</v>
      </c>
      <c r="B8" s="14">
        <v>4.0</v>
      </c>
      <c r="C8" s="14">
        <v>3.0</v>
      </c>
      <c r="D8" s="16">
        <v>59802.0</v>
      </c>
      <c r="E8" s="16">
        <v>2.0</v>
      </c>
      <c r="F8" s="16">
        <v>59800.0</v>
      </c>
      <c r="G8" s="17">
        <v>0.03928038776285074</v>
      </c>
    </row>
    <row r="9" ht="15.0" customHeight="1">
      <c r="A9" s="14" t="s">
        <v>29</v>
      </c>
      <c r="B9" s="14">
        <v>52.0</v>
      </c>
      <c r="C9" s="14">
        <v>52.0</v>
      </c>
      <c r="D9" s="16">
        <v>49186.1</v>
      </c>
      <c r="E9" s="16">
        <v>0.0</v>
      </c>
      <c r="F9" s="16">
        <v>49186.1</v>
      </c>
      <c r="G9" s="17">
        <v>0.03230851305254771</v>
      </c>
    </row>
    <row r="10" ht="15.0" customHeight="1">
      <c r="A10" s="14" t="s">
        <v>30</v>
      </c>
      <c r="B10" s="14">
        <v>36.0</v>
      </c>
      <c r="C10" s="14">
        <v>36.0</v>
      </c>
      <c r="D10" s="16">
        <v>37502.7</v>
      </c>
      <c r="E10" s="16">
        <v>0.0</v>
      </c>
      <c r="F10" s="16">
        <v>37502.7</v>
      </c>
      <c r="G10" s="17">
        <v>0.024634123714947533</v>
      </c>
    </row>
    <row r="11" ht="15.0" customHeight="1">
      <c r="A11" s="14" t="s">
        <v>36</v>
      </c>
      <c r="B11" s="14">
        <v>5.0</v>
      </c>
      <c r="C11" s="14">
        <v>5.0</v>
      </c>
      <c r="D11" s="16">
        <v>30091.5</v>
      </c>
      <c r="E11" s="16">
        <v>0.0</v>
      </c>
      <c r="F11" s="16">
        <v>30091.5</v>
      </c>
      <c r="G11" s="17">
        <v>0.01976598308304052</v>
      </c>
    </row>
    <row r="12" ht="15.0" customHeight="1">
      <c r="A12" s="14" t="s">
        <v>46</v>
      </c>
      <c r="B12" s="14">
        <v>7.0</v>
      </c>
      <c r="C12" s="14">
        <v>6.0</v>
      </c>
      <c r="D12" s="16">
        <v>31013.0</v>
      </c>
      <c r="E12" s="16">
        <v>4722.0</v>
      </c>
      <c r="F12" s="16">
        <v>26291.0</v>
      </c>
      <c r="G12" s="17">
        <v>0.017269576499550316</v>
      </c>
    </row>
    <row r="13" ht="15.0" customHeight="1">
      <c r="A13" s="14" t="s">
        <v>48</v>
      </c>
      <c r="B13" s="14">
        <v>1.0</v>
      </c>
      <c r="C13" s="14">
        <v>1.0</v>
      </c>
      <c r="D13" s="16">
        <v>21556.0</v>
      </c>
      <c r="E13" s="16">
        <v>0.0</v>
      </c>
      <c r="F13" s="16">
        <v>21556.0</v>
      </c>
      <c r="G13" s="17">
        <v>0.014159331749431615</v>
      </c>
    </row>
    <row r="14" ht="15.0" customHeight="1">
      <c r="A14" s="14" t="s">
        <v>50</v>
      </c>
      <c r="B14" s="14">
        <v>9.0</v>
      </c>
      <c r="C14" s="14">
        <v>9.0</v>
      </c>
      <c r="D14" s="16">
        <v>18503.57</v>
      </c>
      <c r="E14" s="16">
        <v>0.0</v>
      </c>
      <c r="F14" s="16">
        <v>18503.57</v>
      </c>
      <c r="G14" s="17">
        <v>0.012154304424699868</v>
      </c>
    </row>
    <row r="15" ht="15.0" customHeight="1">
      <c r="A15" s="14" t="s">
        <v>52</v>
      </c>
      <c r="B15" s="14">
        <v>12.0</v>
      </c>
      <c r="C15" s="14">
        <v>11.0</v>
      </c>
      <c r="D15" s="16">
        <v>20767.68</v>
      </c>
      <c r="E15" s="16">
        <v>2572.9</v>
      </c>
      <c r="F15" s="16">
        <v>18194.78</v>
      </c>
      <c r="G15" s="17">
        <v>0.011951471800330458</v>
      </c>
    </row>
    <row r="16" ht="15.0" customHeight="1">
      <c r="A16" s="14" t="s">
        <v>54</v>
      </c>
      <c r="B16" s="14">
        <v>5.0</v>
      </c>
      <c r="C16" s="14">
        <v>5.0</v>
      </c>
      <c r="D16" s="16">
        <v>14106.0</v>
      </c>
      <c r="E16" s="16">
        <v>0.0</v>
      </c>
      <c r="F16" s="16">
        <v>14106.0</v>
      </c>
      <c r="G16" s="17">
        <v>0.009265704845865762</v>
      </c>
    </row>
    <row r="17" ht="15.0" customHeight="1">
      <c r="A17" s="14" t="s">
        <v>56</v>
      </c>
      <c r="B17" s="14">
        <v>6.0</v>
      </c>
      <c r="C17" s="14">
        <v>6.0</v>
      </c>
      <c r="D17" s="16">
        <v>10691.0</v>
      </c>
      <c r="E17" s="16">
        <v>0.0</v>
      </c>
      <c r="F17" s="16">
        <v>10691.0</v>
      </c>
      <c r="G17" s="17">
        <v>0.007022518822284904</v>
      </c>
    </row>
    <row r="18" ht="15.0" customHeight="1">
      <c r="A18" s="14" t="s">
        <v>58</v>
      </c>
      <c r="B18" s="14">
        <v>5.0</v>
      </c>
      <c r="C18" s="14">
        <v>5.0</v>
      </c>
      <c r="D18" s="16">
        <v>5958.96</v>
      </c>
      <c r="E18" s="16">
        <v>0.0</v>
      </c>
      <c r="F18" s="16">
        <v>5958.96</v>
      </c>
      <c r="G18" s="17">
        <v>0.003914218385674199</v>
      </c>
    </row>
    <row r="19" ht="15.0" customHeight="1">
      <c r="A19" s="14" t="s">
        <v>60</v>
      </c>
      <c r="B19" s="14">
        <v>2.0</v>
      </c>
      <c r="C19" s="14">
        <v>2.0</v>
      </c>
      <c r="D19" s="16">
        <v>4500.0</v>
      </c>
      <c r="E19" s="16">
        <v>0.0</v>
      </c>
      <c r="F19" s="16">
        <v>4500.0</v>
      </c>
      <c r="G19" s="17">
        <v>0.0029558820222880993</v>
      </c>
    </row>
    <row r="20" ht="15.0" customHeight="1">
      <c r="A20" s="14" t="s">
        <v>62</v>
      </c>
      <c r="B20" s="14">
        <v>5.0</v>
      </c>
      <c r="C20" s="14">
        <v>4.0</v>
      </c>
      <c r="D20" s="16">
        <v>2387.0</v>
      </c>
      <c r="E20" s="16">
        <v>284.0</v>
      </c>
      <c r="F20" s="16">
        <v>2103.0</v>
      </c>
      <c r="G20" s="17">
        <v>0.0013813821984159718</v>
      </c>
    </row>
    <row r="21" ht="15.0" customHeight="1">
      <c r="A21" s="14" t="s">
        <v>64</v>
      </c>
      <c r="B21" s="14">
        <v>14.0</v>
      </c>
      <c r="C21" s="14">
        <v>14.0</v>
      </c>
      <c r="D21" s="16">
        <v>329.08</v>
      </c>
      <c r="E21" s="16">
        <v>0.0</v>
      </c>
      <c r="F21" s="16">
        <v>329.08</v>
      </c>
      <c r="G21" s="17">
        <v>2.1616036797657056E-4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4.0"/>
    <col customWidth="1" min="3" max="3" width="33.63"/>
    <col customWidth="1" min="4" max="4" width="10.75"/>
    <col customWidth="1" min="5" max="5" width="12.38"/>
    <col customWidth="1" min="6" max="6" width="12.75"/>
    <col customWidth="1" min="7" max="7" width="9.25"/>
    <col customWidth="1" min="8" max="8" width="11.13"/>
    <col customWidth="1" min="9" max="9" width="9.5"/>
    <col customWidth="1" min="10" max="10" width="11.88"/>
    <col customWidth="1" min="11" max="11" width="44.0"/>
    <col customWidth="1" min="12" max="12" width="48.0"/>
    <col customWidth="1" min="13" max="26" width="8.63"/>
  </cols>
  <sheetData>
    <row r="1" ht="15.0" customHeight="1">
      <c r="A1" s="12" t="s">
        <v>35</v>
      </c>
      <c r="B1" s="12" t="s">
        <v>5</v>
      </c>
      <c r="C1" s="12" t="s">
        <v>71</v>
      </c>
      <c r="D1" s="12" t="s">
        <v>34</v>
      </c>
      <c r="E1" s="12" t="s">
        <v>782</v>
      </c>
      <c r="F1" s="12" t="s">
        <v>31</v>
      </c>
      <c r="G1" s="12" t="s">
        <v>32</v>
      </c>
      <c r="H1" s="12" t="s">
        <v>6</v>
      </c>
      <c r="I1" s="12" t="s">
        <v>33</v>
      </c>
      <c r="J1" s="12" t="s">
        <v>76</v>
      </c>
      <c r="K1" s="12" t="s">
        <v>4</v>
      </c>
      <c r="L1" s="12" t="s">
        <v>783</v>
      </c>
    </row>
    <row r="2" ht="15.0" customHeight="1">
      <c r="A2" s="15" t="s">
        <v>37</v>
      </c>
      <c r="B2" s="15" t="s">
        <v>9</v>
      </c>
      <c r="C2" s="15" t="s">
        <v>90</v>
      </c>
      <c r="D2" s="15">
        <v>13.0</v>
      </c>
      <c r="E2" s="15">
        <v>13.0</v>
      </c>
      <c r="F2" s="18">
        <v>267896.0</v>
      </c>
      <c r="G2" s="18">
        <v>0.0</v>
      </c>
      <c r="H2" s="18">
        <v>267896.0</v>
      </c>
      <c r="I2" s="19">
        <v>0.17597088227619836</v>
      </c>
      <c r="J2" s="15" t="s">
        <v>83</v>
      </c>
      <c r="K2" s="15"/>
      <c r="L2" s="15" t="s">
        <v>784</v>
      </c>
    </row>
    <row r="3" ht="15.0" customHeight="1">
      <c r="A3" s="15" t="s">
        <v>38</v>
      </c>
      <c r="B3" s="15" t="s">
        <v>12</v>
      </c>
      <c r="C3" s="15" t="s">
        <v>225</v>
      </c>
      <c r="D3" s="15">
        <v>2.0</v>
      </c>
      <c r="E3" s="15">
        <v>2.0</v>
      </c>
      <c r="F3" s="18">
        <v>195231.0</v>
      </c>
      <c r="G3" s="18">
        <v>0.0</v>
      </c>
      <c r="H3" s="18">
        <v>195231.0</v>
      </c>
      <c r="I3" s="19">
        <v>0.12823995624296175</v>
      </c>
      <c r="J3" s="15" t="s">
        <v>83</v>
      </c>
      <c r="K3" s="15" t="s">
        <v>228</v>
      </c>
      <c r="L3" s="15" t="s">
        <v>785</v>
      </c>
    </row>
    <row r="4" ht="15.0" customHeight="1">
      <c r="A4" s="15" t="s">
        <v>39</v>
      </c>
      <c r="B4" s="15" t="s">
        <v>15</v>
      </c>
      <c r="C4" s="15" t="s">
        <v>156</v>
      </c>
      <c r="D4" s="15">
        <v>36.0</v>
      </c>
      <c r="E4" s="15">
        <v>36.0</v>
      </c>
      <c r="F4" s="18">
        <v>148903.74</v>
      </c>
      <c r="G4" s="18">
        <v>0.0</v>
      </c>
      <c r="H4" s="18">
        <v>148903.74</v>
      </c>
      <c r="I4" s="19">
        <v>0.09780930847054697</v>
      </c>
      <c r="J4" s="15" t="s">
        <v>83</v>
      </c>
      <c r="K4" s="15"/>
      <c r="L4" s="15"/>
    </row>
    <row r="5" ht="15.0" customHeight="1">
      <c r="A5" s="15" t="s">
        <v>40</v>
      </c>
      <c r="B5" s="15" t="s">
        <v>21</v>
      </c>
      <c r="C5" s="15" t="s">
        <v>150</v>
      </c>
      <c r="D5" s="15">
        <v>28.0</v>
      </c>
      <c r="E5" s="15">
        <v>27.0</v>
      </c>
      <c r="F5" s="18">
        <v>111127.18</v>
      </c>
      <c r="G5" s="18">
        <v>1714.0</v>
      </c>
      <c r="H5" s="18">
        <v>109413.18</v>
      </c>
      <c r="I5" s="19">
        <v>0.07186943372519375</v>
      </c>
      <c r="J5" s="15" t="s">
        <v>83</v>
      </c>
      <c r="K5" s="15"/>
      <c r="L5" s="15" t="s">
        <v>786</v>
      </c>
    </row>
    <row r="6" ht="15.0" customHeight="1">
      <c r="A6" s="15" t="s">
        <v>41</v>
      </c>
      <c r="B6" s="15" t="s">
        <v>18</v>
      </c>
      <c r="C6" s="15" t="s">
        <v>251</v>
      </c>
      <c r="D6" s="15">
        <v>136.0</v>
      </c>
      <c r="E6" s="15">
        <v>134.0</v>
      </c>
      <c r="F6" s="18">
        <v>107800.24</v>
      </c>
      <c r="G6" s="18">
        <v>1394.0</v>
      </c>
      <c r="H6" s="18">
        <v>106406.24</v>
      </c>
      <c r="I6" s="19">
        <v>0.06989428708339396</v>
      </c>
      <c r="J6" s="15" t="s">
        <v>83</v>
      </c>
      <c r="K6" s="15"/>
      <c r="L6" s="15"/>
    </row>
    <row r="7" ht="15.0" customHeight="1">
      <c r="A7" s="15" t="s">
        <v>25</v>
      </c>
      <c r="B7" s="15" t="s">
        <v>25</v>
      </c>
      <c r="C7" s="15" t="s">
        <v>366</v>
      </c>
      <c r="D7" s="15">
        <v>4.0</v>
      </c>
      <c r="E7" s="15">
        <v>4.0</v>
      </c>
      <c r="F7" s="18">
        <v>83700.0</v>
      </c>
      <c r="G7" s="18">
        <v>0.0</v>
      </c>
      <c r="H7" s="18">
        <v>83700.0</v>
      </c>
      <c r="I7" s="19">
        <v>0.05497940561455865</v>
      </c>
      <c r="J7" s="15" t="s">
        <v>83</v>
      </c>
      <c r="K7" s="15"/>
      <c r="L7" s="15"/>
    </row>
    <row r="8" ht="15.0" customHeight="1">
      <c r="A8" s="15" t="s">
        <v>42</v>
      </c>
      <c r="B8" s="15" t="s">
        <v>18</v>
      </c>
      <c r="C8" s="15" t="s">
        <v>128</v>
      </c>
      <c r="D8" s="15">
        <v>36.0</v>
      </c>
      <c r="E8" s="15">
        <v>36.0</v>
      </c>
      <c r="F8" s="18">
        <v>68003.32</v>
      </c>
      <c r="G8" s="18">
        <v>0.0</v>
      </c>
      <c r="H8" s="18">
        <v>68003.32</v>
      </c>
      <c r="I8" s="19">
        <v>0.04466884245420105</v>
      </c>
      <c r="J8" s="15" t="s">
        <v>83</v>
      </c>
      <c r="K8" s="15"/>
      <c r="L8" s="15"/>
    </row>
    <row r="9" ht="15.0" customHeight="1">
      <c r="A9" s="15" t="s">
        <v>43</v>
      </c>
      <c r="B9" s="15" t="s">
        <v>26</v>
      </c>
      <c r="C9" s="15" t="s">
        <v>153</v>
      </c>
      <c r="D9" s="15">
        <v>4.0</v>
      </c>
      <c r="E9" s="15">
        <v>3.0</v>
      </c>
      <c r="F9" s="18">
        <v>59802.0</v>
      </c>
      <c r="G9" s="18">
        <v>2.0</v>
      </c>
      <c r="H9" s="18">
        <v>59800.0</v>
      </c>
      <c r="I9" s="19">
        <v>0.03928038776285074</v>
      </c>
      <c r="J9" s="15" t="s">
        <v>83</v>
      </c>
      <c r="K9" s="15"/>
      <c r="L9" s="15" t="s">
        <v>787</v>
      </c>
    </row>
    <row r="10" ht="15.0" customHeight="1">
      <c r="A10" s="15" t="s">
        <v>44</v>
      </c>
      <c r="B10" s="15" t="s">
        <v>29</v>
      </c>
      <c r="C10" s="15" t="s">
        <v>118</v>
      </c>
      <c r="D10" s="15">
        <v>52.0</v>
      </c>
      <c r="E10" s="15">
        <v>52.0</v>
      </c>
      <c r="F10" s="18">
        <v>49186.1</v>
      </c>
      <c r="G10" s="18">
        <v>0.0</v>
      </c>
      <c r="H10" s="18">
        <v>49186.1</v>
      </c>
      <c r="I10" s="19">
        <v>0.03230851305254771</v>
      </c>
      <c r="J10" s="15" t="s">
        <v>83</v>
      </c>
      <c r="K10" s="15"/>
      <c r="L10" s="15"/>
    </row>
    <row r="11" ht="15.0" customHeight="1">
      <c r="A11" s="15" t="s">
        <v>45</v>
      </c>
      <c r="B11" s="15" t="s">
        <v>15</v>
      </c>
      <c r="C11" s="15" t="s">
        <v>248</v>
      </c>
      <c r="D11" s="15">
        <v>21.0</v>
      </c>
      <c r="E11" s="15">
        <v>15.0</v>
      </c>
      <c r="F11" s="18">
        <v>59789.32</v>
      </c>
      <c r="G11" s="18">
        <v>11711.56</v>
      </c>
      <c r="H11" s="18">
        <v>48077.76</v>
      </c>
      <c r="I11" s="19">
        <v>0.03158048587908486</v>
      </c>
      <c r="J11" s="15" t="s">
        <v>83</v>
      </c>
      <c r="K11" s="15"/>
      <c r="L11" s="15" t="s">
        <v>788</v>
      </c>
    </row>
    <row r="12" ht="15.0" customHeight="1">
      <c r="A12" s="15" t="s">
        <v>47</v>
      </c>
      <c r="B12" s="15" t="s">
        <v>9</v>
      </c>
      <c r="C12" s="15" t="s">
        <v>488</v>
      </c>
      <c r="D12" s="15">
        <v>4.0</v>
      </c>
      <c r="E12" s="15">
        <v>4.0</v>
      </c>
      <c r="F12" s="18">
        <v>46474.0</v>
      </c>
      <c r="G12" s="18">
        <v>0.0</v>
      </c>
      <c r="H12" s="18">
        <v>46474.0</v>
      </c>
      <c r="I12" s="19">
        <v>0.03052703580084825</v>
      </c>
      <c r="J12" s="15" t="s">
        <v>83</v>
      </c>
      <c r="K12" s="15"/>
      <c r="L12" s="15" t="s">
        <v>789</v>
      </c>
    </row>
    <row r="13" ht="15.0" customHeight="1">
      <c r="A13" s="15" t="s">
        <v>49</v>
      </c>
      <c r="B13" s="15" t="s">
        <v>9</v>
      </c>
      <c r="C13" s="15" t="s">
        <v>640</v>
      </c>
      <c r="D13" s="15">
        <v>1.0</v>
      </c>
      <c r="E13" s="15">
        <v>1.0</v>
      </c>
      <c r="F13" s="18">
        <v>34040.0</v>
      </c>
      <c r="G13" s="18">
        <v>0.0</v>
      </c>
      <c r="H13" s="18">
        <v>34040.0</v>
      </c>
      <c r="I13" s="19">
        <v>0.022359605341930423</v>
      </c>
      <c r="J13" s="15" t="s">
        <v>83</v>
      </c>
      <c r="K13" s="15"/>
      <c r="L13" s="15" t="s">
        <v>790</v>
      </c>
    </row>
    <row r="14" ht="15.0" customHeight="1">
      <c r="A14" s="15" t="s">
        <v>51</v>
      </c>
      <c r="B14" s="15" t="s">
        <v>30</v>
      </c>
      <c r="C14" s="15" t="s">
        <v>81</v>
      </c>
      <c r="D14" s="15">
        <v>33.0</v>
      </c>
      <c r="E14" s="15">
        <v>33.0</v>
      </c>
      <c r="F14" s="18">
        <v>33671.0</v>
      </c>
      <c r="G14" s="18">
        <v>0.0</v>
      </c>
      <c r="H14" s="18">
        <v>33671.0</v>
      </c>
      <c r="I14" s="19">
        <v>0.022117223016102798</v>
      </c>
      <c r="J14" s="15" t="s">
        <v>83</v>
      </c>
      <c r="K14" s="15"/>
      <c r="L14" s="15"/>
    </row>
    <row r="15" ht="15.0" customHeight="1">
      <c r="A15" s="15" t="s">
        <v>53</v>
      </c>
      <c r="B15" s="15" t="s">
        <v>36</v>
      </c>
      <c r="C15" s="15" t="s">
        <v>217</v>
      </c>
      <c r="D15" s="15">
        <v>5.0</v>
      </c>
      <c r="E15" s="15">
        <v>5.0</v>
      </c>
      <c r="F15" s="18">
        <v>30091.5</v>
      </c>
      <c r="G15" s="18">
        <v>0.0</v>
      </c>
      <c r="H15" s="18">
        <v>30091.5</v>
      </c>
      <c r="I15" s="19">
        <v>0.01976598308304052</v>
      </c>
      <c r="J15" s="15" t="s">
        <v>97</v>
      </c>
      <c r="K15" s="15" t="s">
        <v>218</v>
      </c>
      <c r="L15" s="15"/>
    </row>
    <row r="16" ht="15.0" customHeight="1">
      <c r="A16" s="15" t="s">
        <v>55</v>
      </c>
      <c r="B16" s="15" t="s">
        <v>46</v>
      </c>
      <c r="C16" s="15" t="s">
        <v>178</v>
      </c>
      <c r="D16" s="15">
        <v>7.0</v>
      </c>
      <c r="E16" s="15">
        <v>6.0</v>
      </c>
      <c r="F16" s="18">
        <v>31013.0</v>
      </c>
      <c r="G16" s="18">
        <v>4722.0</v>
      </c>
      <c r="H16" s="18">
        <v>26291.0</v>
      </c>
      <c r="I16" s="19">
        <v>0.017269576499550316</v>
      </c>
      <c r="J16" s="15" t="s">
        <v>83</v>
      </c>
      <c r="K16" s="15"/>
      <c r="L16" s="15"/>
    </row>
    <row r="17" ht="15.0" customHeight="1">
      <c r="A17" s="15" t="s">
        <v>57</v>
      </c>
      <c r="B17" s="15" t="s">
        <v>12</v>
      </c>
      <c r="C17" s="15" t="s">
        <v>225</v>
      </c>
      <c r="D17" s="15">
        <v>1.0</v>
      </c>
      <c r="E17" s="15">
        <v>1.0</v>
      </c>
      <c r="F17" s="18">
        <v>24626.0</v>
      </c>
      <c r="G17" s="18">
        <v>0.0</v>
      </c>
      <c r="H17" s="18">
        <v>24626.0</v>
      </c>
      <c r="I17" s="19">
        <v>0.01617590015130372</v>
      </c>
      <c r="J17" s="15" t="s">
        <v>83</v>
      </c>
      <c r="K17" s="15"/>
      <c r="L17" s="15"/>
    </row>
    <row r="18" ht="15.0" customHeight="1">
      <c r="A18" s="15" t="s">
        <v>59</v>
      </c>
      <c r="B18" s="15" t="s">
        <v>9</v>
      </c>
      <c r="C18" s="15" t="s">
        <v>90</v>
      </c>
      <c r="D18" s="15">
        <v>3.0</v>
      </c>
      <c r="E18" s="15">
        <v>3.0</v>
      </c>
      <c r="F18" s="18">
        <v>23721.0</v>
      </c>
      <c r="G18" s="18">
        <v>0.0</v>
      </c>
      <c r="H18" s="18">
        <v>23721.0</v>
      </c>
      <c r="I18" s="19">
        <v>0.015581439433488001</v>
      </c>
      <c r="J18" s="15" t="s">
        <v>83</v>
      </c>
      <c r="K18" s="15"/>
      <c r="L18" s="15"/>
    </row>
    <row r="19" ht="15.0" customHeight="1">
      <c r="A19" s="15" t="s">
        <v>61</v>
      </c>
      <c r="B19" s="15" t="s">
        <v>48</v>
      </c>
      <c r="C19" s="15" t="s">
        <v>553</v>
      </c>
      <c r="D19" s="15">
        <v>1.0</v>
      </c>
      <c r="E19" s="15">
        <v>1.0</v>
      </c>
      <c r="F19" s="18">
        <v>21556.0</v>
      </c>
      <c r="G19" s="18">
        <v>0.0</v>
      </c>
      <c r="H19" s="18">
        <v>21556.0</v>
      </c>
      <c r="I19" s="19">
        <v>0.014159331749431615</v>
      </c>
      <c r="J19" s="15" t="s">
        <v>83</v>
      </c>
      <c r="K19" s="15"/>
      <c r="L19" s="15" t="s">
        <v>791</v>
      </c>
    </row>
    <row r="20" ht="15.0" customHeight="1">
      <c r="A20" s="15" t="s">
        <v>63</v>
      </c>
      <c r="B20" s="15" t="s">
        <v>9</v>
      </c>
      <c r="C20" s="15" t="s">
        <v>301</v>
      </c>
      <c r="D20" s="15">
        <v>4.0</v>
      </c>
      <c r="E20" s="15">
        <v>3.0</v>
      </c>
      <c r="F20" s="18">
        <v>25221.08</v>
      </c>
      <c r="G20" s="18">
        <v>3840.0</v>
      </c>
      <c r="H20" s="18">
        <v>21381.08</v>
      </c>
      <c r="I20" s="19">
        <v>0.01404443333091192</v>
      </c>
      <c r="J20" s="15" t="s">
        <v>83</v>
      </c>
      <c r="K20" s="15"/>
      <c r="L20" s="15"/>
    </row>
    <row r="21" ht="15.0" customHeight="1">
      <c r="A21" s="15" t="s">
        <v>65</v>
      </c>
      <c r="B21" s="15" t="s">
        <v>52</v>
      </c>
      <c r="C21" s="15" t="s">
        <v>414</v>
      </c>
      <c r="D21" s="15">
        <v>12.0</v>
      </c>
      <c r="E21" s="15">
        <v>11.0</v>
      </c>
      <c r="F21" s="18">
        <v>20767.68</v>
      </c>
      <c r="G21" s="18">
        <v>2572.9</v>
      </c>
      <c r="H21" s="18">
        <v>18194.78</v>
      </c>
      <c r="I21" s="19">
        <v>0.011951471800330458</v>
      </c>
      <c r="J21" s="15" t="s">
        <v>83</v>
      </c>
      <c r="K21" s="15"/>
      <c r="L21" s="15"/>
    </row>
    <row r="22" ht="15.0" customHeight="1">
      <c r="A22" s="15" t="s">
        <v>549</v>
      </c>
      <c r="B22" s="15" t="s">
        <v>15</v>
      </c>
      <c r="C22" s="15" t="s">
        <v>550</v>
      </c>
      <c r="D22" s="15">
        <v>2.0</v>
      </c>
      <c r="E22" s="15">
        <v>2.0</v>
      </c>
      <c r="F22" s="18">
        <v>15013.0</v>
      </c>
      <c r="G22" s="18">
        <v>0.0</v>
      </c>
      <c r="H22" s="18">
        <v>15013.0</v>
      </c>
      <c r="I22" s="19">
        <v>0.009861479289024718</v>
      </c>
      <c r="J22" s="15" t="s">
        <v>83</v>
      </c>
      <c r="K22" s="15"/>
      <c r="L22" s="15"/>
    </row>
    <row r="23" ht="15.0" customHeight="1">
      <c r="A23" s="15" t="s">
        <v>357</v>
      </c>
      <c r="B23" s="15" t="s">
        <v>54</v>
      </c>
      <c r="C23" s="15" t="s">
        <v>358</v>
      </c>
      <c r="D23" s="15">
        <v>5.0</v>
      </c>
      <c r="E23" s="15">
        <v>5.0</v>
      </c>
      <c r="F23" s="18">
        <v>14106.0</v>
      </c>
      <c r="G23" s="18">
        <v>0.0</v>
      </c>
      <c r="H23" s="18">
        <v>14106.0</v>
      </c>
      <c r="I23" s="19">
        <v>0.009265704845865762</v>
      </c>
      <c r="J23" s="15" t="s">
        <v>83</v>
      </c>
      <c r="K23" s="15"/>
      <c r="L23" s="15"/>
    </row>
    <row r="24" ht="15.0" customHeight="1">
      <c r="A24" s="15" t="s">
        <v>588</v>
      </c>
      <c r="B24" s="15" t="s">
        <v>9</v>
      </c>
      <c r="C24" s="15" t="s">
        <v>589</v>
      </c>
      <c r="D24" s="15">
        <v>1.0</v>
      </c>
      <c r="E24" s="15">
        <v>1.0</v>
      </c>
      <c r="F24" s="18">
        <v>11869.0</v>
      </c>
      <c r="G24" s="18">
        <v>0.0</v>
      </c>
      <c r="H24" s="18">
        <v>11869.0</v>
      </c>
      <c r="I24" s="19">
        <v>0.007796303049452767</v>
      </c>
      <c r="J24" s="15" t="s">
        <v>83</v>
      </c>
      <c r="K24" s="15"/>
      <c r="L24" s="15"/>
    </row>
    <row r="25" ht="15.0" customHeight="1">
      <c r="A25" s="15" t="s">
        <v>279</v>
      </c>
      <c r="B25" s="15" t="s">
        <v>21</v>
      </c>
      <c r="C25" s="15" t="s">
        <v>280</v>
      </c>
      <c r="D25" s="15">
        <v>1.0</v>
      </c>
      <c r="E25" s="15">
        <v>1.0</v>
      </c>
      <c r="F25" s="18">
        <v>9145.0</v>
      </c>
      <c r="G25" s="18">
        <v>0.0</v>
      </c>
      <c r="H25" s="18">
        <v>9145.0</v>
      </c>
      <c r="I25" s="19">
        <v>0.006007009131961037</v>
      </c>
      <c r="J25" s="15" t="s">
        <v>114</v>
      </c>
      <c r="K25" s="15" t="s">
        <v>281</v>
      </c>
      <c r="L25" s="15"/>
    </row>
    <row r="26" ht="15.0" customHeight="1">
      <c r="A26" s="15" t="s">
        <v>242</v>
      </c>
      <c r="B26" s="15" t="s">
        <v>50</v>
      </c>
      <c r="C26" s="15" t="s">
        <v>113</v>
      </c>
      <c r="D26" s="15">
        <v>3.0</v>
      </c>
      <c r="E26" s="15">
        <v>3.0</v>
      </c>
      <c r="F26" s="18">
        <v>8164.91</v>
      </c>
      <c r="G26" s="18">
        <v>0.0</v>
      </c>
      <c r="H26" s="18">
        <v>8164.91</v>
      </c>
      <c r="I26" s="19">
        <v>0.005363224596133405</v>
      </c>
      <c r="J26" s="15" t="s">
        <v>114</v>
      </c>
      <c r="K26" s="15" t="s">
        <v>212</v>
      </c>
      <c r="L26" s="15"/>
    </row>
    <row r="27" ht="15.0" customHeight="1">
      <c r="A27" s="15" t="s">
        <v>777</v>
      </c>
      <c r="B27" s="15" t="s">
        <v>9</v>
      </c>
      <c r="C27" s="15" t="s">
        <v>778</v>
      </c>
      <c r="D27" s="15">
        <v>1.0</v>
      </c>
      <c r="E27" s="15">
        <v>1.0</v>
      </c>
      <c r="F27" s="18">
        <v>6887.22</v>
      </c>
      <c r="G27" s="18">
        <v>0.0</v>
      </c>
      <c r="H27" s="18">
        <v>6887.22</v>
      </c>
      <c r="I27" s="19">
        <v>0.004523957729231787</v>
      </c>
      <c r="J27" s="15" t="s">
        <v>83</v>
      </c>
      <c r="K27" s="15" t="s">
        <v>779</v>
      </c>
      <c r="L27" s="15"/>
    </row>
    <row r="28" ht="15.0" customHeight="1">
      <c r="A28" s="15" t="s">
        <v>191</v>
      </c>
      <c r="B28" s="15" t="s">
        <v>56</v>
      </c>
      <c r="C28" s="15" t="s">
        <v>192</v>
      </c>
      <c r="D28" s="15">
        <v>3.0</v>
      </c>
      <c r="E28" s="15">
        <v>3.0</v>
      </c>
      <c r="F28" s="18">
        <v>6015.0</v>
      </c>
      <c r="G28" s="18">
        <v>0.0</v>
      </c>
      <c r="H28" s="18">
        <v>6015.0</v>
      </c>
      <c r="I28" s="19">
        <v>0.00395102896979176</v>
      </c>
      <c r="J28" s="15" t="s">
        <v>83</v>
      </c>
      <c r="K28" s="15"/>
      <c r="L28" s="15"/>
    </row>
    <row r="29" ht="15.0" customHeight="1">
      <c r="A29" s="15" t="s">
        <v>95</v>
      </c>
      <c r="B29" s="15" t="s">
        <v>58</v>
      </c>
      <c r="C29" s="15" t="s">
        <v>96</v>
      </c>
      <c r="D29" s="15">
        <v>5.0</v>
      </c>
      <c r="E29" s="15">
        <v>5.0</v>
      </c>
      <c r="F29" s="18">
        <v>5958.96</v>
      </c>
      <c r="G29" s="18">
        <v>0.0</v>
      </c>
      <c r="H29" s="18">
        <v>5958.96</v>
      </c>
      <c r="I29" s="19">
        <v>0.003914218385674199</v>
      </c>
      <c r="J29" s="15" t="s">
        <v>97</v>
      </c>
      <c r="K29" s="15" t="s">
        <v>98</v>
      </c>
      <c r="L29" s="15"/>
    </row>
    <row r="30" ht="15.0" customHeight="1">
      <c r="A30" s="15" t="s">
        <v>496</v>
      </c>
      <c r="B30" s="15" t="s">
        <v>56</v>
      </c>
      <c r="C30" s="15" t="s">
        <v>497</v>
      </c>
      <c r="D30" s="15">
        <v>3.0</v>
      </c>
      <c r="E30" s="15">
        <v>3.0</v>
      </c>
      <c r="F30" s="18">
        <v>4676.0</v>
      </c>
      <c r="G30" s="18">
        <v>0.0</v>
      </c>
      <c r="H30" s="18">
        <v>4676.0</v>
      </c>
      <c r="I30" s="19">
        <v>0.003071489852493145</v>
      </c>
      <c r="J30" s="15" t="s">
        <v>83</v>
      </c>
      <c r="K30" s="15"/>
      <c r="L30" s="15"/>
    </row>
    <row r="31" ht="15.0" customHeight="1">
      <c r="A31" s="15" t="s">
        <v>269</v>
      </c>
      <c r="B31" s="15" t="s">
        <v>60</v>
      </c>
      <c r="C31" s="15" t="s">
        <v>270</v>
      </c>
      <c r="D31" s="15">
        <v>2.0</v>
      </c>
      <c r="E31" s="15">
        <v>2.0</v>
      </c>
      <c r="F31" s="18">
        <v>4500.0</v>
      </c>
      <c r="G31" s="18">
        <v>0.0</v>
      </c>
      <c r="H31" s="18">
        <v>4500.0</v>
      </c>
      <c r="I31" s="19">
        <v>0.0029558820222880993</v>
      </c>
      <c r="J31" s="15" t="s">
        <v>83</v>
      </c>
      <c r="K31" s="15"/>
      <c r="L31" s="15"/>
    </row>
    <row r="32" ht="15.0" customHeight="1">
      <c r="A32" s="15" t="s">
        <v>763</v>
      </c>
      <c r="B32" s="15" t="s">
        <v>50</v>
      </c>
      <c r="C32" s="15" t="s">
        <v>113</v>
      </c>
      <c r="D32" s="15">
        <v>1.0</v>
      </c>
      <c r="E32" s="15">
        <v>1.0</v>
      </c>
      <c r="F32" s="18">
        <v>4500.0</v>
      </c>
      <c r="G32" s="18">
        <v>0.0</v>
      </c>
      <c r="H32" s="18">
        <v>4500.0</v>
      </c>
      <c r="I32" s="19">
        <v>0.0029558820222880993</v>
      </c>
      <c r="J32" s="15" t="s">
        <v>114</v>
      </c>
      <c r="K32" s="15" t="s">
        <v>764</v>
      </c>
      <c r="L32" s="15"/>
    </row>
    <row r="33" ht="15.0" customHeight="1">
      <c r="A33" s="15" t="s">
        <v>211</v>
      </c>
      <c r="B33" s="15" t="s">
        <v>50</v>
      </c>
      <c r="C33" s="15" t="s">
        <v>113</v>
      </c>
      <c r="D33" s="15">
        <v>1.0</v>
      </c>
      <c r="E33" s="15">
        <v>1.0</v>
      </c>
      <c r="F33" s="18">
        <v>2461.76</v>
      </c>
      <c r="G33" s="18">
        <v>0.0</v>
      </c>
      <c r="H33" s="18">
        <v>2461.76</v>
      </c>
      <c r="I33" s="19">
        <v>0.0016170382504862115</v>
      </c>
      <c r="J33" s="15" t="s">
        <v>114</v>
      </c>
      <c r="K33" s="15" t="s">
        <v>212</v>
      </c>
      <c r="L33" s="15"/>
    </row>
    <row r="34" ht="15.0" customHeight="1">
      <c r="A34" s="15" t="s">
        <v>121</v>
      </c>
      <c r="B34" s="15" t="s">
        <v>62</v>
      </c>
      <c r="C34" s="15" t="s">
        <v>122</v>
      </c>
      <c r="D34" s="15">
        <v>5.0</v>
      </c>
      <c r="E34" s="15">
        <v>4.0</v>
      </c>
      <c r="F34" s="18">
        <v>2387.0</v>
      </c>
      <c r="G34" s="18">
        <v>284.0</v>
      </c>
      <c r="H34" s="18">
        <v>2103.0</v>
      </c>
      <c r="I34" s="19">
        <v>0.0013813821984159718</v>
      </c>
      <c r="J34" s="15" t="s">
        <v>97</v>
      </c>
      <c r="K34" s="15" t="s">
        <v>123</v>
      </c>
      <c r="L34" s="15"/>
    </row>
    <row r="35" ht="15.0" customHeight="1">
      <c r="A35" s="15" t="s">
        <v>86</v>
      </c>
      <c r="B35" s="15" t="s">
        <v>30</v>
      </c>
      <c r="C35" s="15" t="s">
        <v>87</v>
      </c>
      <c r="D35" s="15">
        <v>1.0</v>
      </c>
      <c r="E35" s="15">
        <v>1.0</v>
      </c>
      <c r="F35" s="18">
        <v>1960.0</v>
      </c>
      <c r="G35" s="18">
        <v>0.0</v>
      </c>
      <c r="H35" s="18">
        <v>1960.0</v>
      </c>
      <c r="I35" s="19">
        <v>0.0012874508363743722</v>
      </c>
      <c r="J35" s="15" t="s">
        <v>83</v>
      </c>
      <c r="K35" s="15"/>
      <c r="L35" s="15"/>
    </row>
    <row r="36" ht="15.0" customHeight="1">
      <c r="A36" s="15" t="s">
        <v>109</v>
      </c>
      <c r="B36" s="15" t="s">
        <v>9</v>
      </c>
      <c r="C36" s="15" t="s">
        <v>90</v>
      </c>
      <c r="D36" s="15">
        <v>1.0</v>
      </c>
      <c r="E36" s="15">
        <v>1.0</v>
      </c>
      <c r="F36" s="18">
        <v>1900.0</v>
      </c>
      <c r="G36" s="18">
        <v>0.0</v>
      </c>
      <c r="H36" s="18">
        <v>1900.0</v>
      </c>
      <c r="I36" s="19">
        <v>0.0012480390760771975</v>
      </c>
      <c r="J36" s="15" t="s">
        <v>83</v>
      </c>
      <c r="K36" s="15"/>
      <c r="L36" s="15"/>
    </row>
    <row r="37" ht="15.0" customHeight="1">
      <c r="A37" s="15" t="s">
        <v>346</v>
      </c>
      <c r="B37" s="15" t="s">
        <v>30</v>
      </c>
      <c r="C37" s="15" t="s">
        <v>347</v>
      </c>
      <c r="D37" s="15">
        <v>2.0</v>
      </c>
      <c r="E37" s="15">
        <v>2.0</v>
      </c>
      <c r="F37" s="18">
        <v>1871.7</v>
      </c>
      <c r="G37" s="18">
        <v>0.0</v>
      </c>
      <c r="H37" s="18">
        <v>1871.7</v>
      </c>
      <c r="I37" s="19">
        <v>0.0012294498624703634</v>
      </c>
      <c r="J37" s="15" t="s">
        <v>83</v>
      </c>
      <c r="K37" s="15"/>
      <c r="L37" s="15"/>
    </row>
    <row r="38" ht="15.0" customHeight="1">
      <c r="A38" s="15" t="s">
        <v>569</v>
      </c>
      <c r="B38" s="15" t="s">
        <v>50</v>
      </c>
      <c r="C38" s="15" t="s">
        <v>113</v>
      </c>
      <c r="D38" s="15">
        <v>1.0</v>
      </c>
      <c r="E38" s="15">
        <v>1.0</v>
      </c>
      <c r="F38" s="18">
        <v>1386.0</v>
      </c>
      <c r="G38" s="18">
        <v>0.0</v>
      </c>
      <c r="H38" s="18">
        <v>1386.0</v>
      </c>
      <c r="I38" s="19">
        <v>9.104116628647346E-4</v>
      </c>
      <c r="J38" s="15" t="s">
        <v>114</v>
      </c>
      <c r="K38" s="15" t="s">
        <v>212</v>
      </c>
      <c r="L38" s="15"/>
    </row>
    <row r="39" ht="15.0" customHeight="1">
      <c r="A39" s="15" t="s">
        <v>425</v>
      </c>
      <c r="B39" s="15" t="s">
        <v>50</v>
      </c>
      <c r="C39" s="15" t="s">
        <v>113</v>
      </c>
      <c r="D39" s="15">
        <v>1.0</v>
      </c>
      <c r="E39" s="15">
        <v>1.0</v>
      </c>
      <c r="F39" s="18">
        <v>998.0</v>
      </c>
      <c r="G39" s="18">
        <v>0.0</v>
      </c>
      <c r="H39" s="18">
        <v>998.0</v>
      </c>
      <c r="I39" s="19">
        <v>6.555489462763385E-4</v>
      </c>
      <c r="J39" s="15" t="s">
        <v>114</v>
      </c>
      <c r="K39" s="15" t="s">
        <v>212</v>
      </c>
      <c r="L39" s="15"/>
    </row>
    <row r="40" ht="15.0" customHeight="1">
      <c r="A40" s="15" t="s">
        <v>565</v>
      </c>
      <c r="B40" s="15" t="s">
        <v>9</v>
      </c>
      <c r="C40" s="15" t="s">
        <v>90</v>
      </c>
      <c r="D40" s="15">
        <v>3.0</v>
      </c>
      <c r="E40" s="15">
        <v>3.0</v>
      </c>
      <c r="F40" s="18">
        <v>887.0</v>
      </c>
      <c r="G40" s="18">
        <v>0.0</v>
      </c>
      <c r="H40" s="18">
        <v>887.0</v>
      </c>
      <c r="I40" s="19">
        <v>5.826371897265654E-4</v>
      </c>
      <c r="J40" s="15" t="s">
        <v>83</v>
      </c>
      <c r="K40" s="15"/>
      <c r="L40" s="15"/>
    </row>
    <row r="41" ht="15.0" customHeight="1">
      <c r="A41" s="15" t="s">
        <v>690</v>
      </c>
      <c r="B41" s="15" t="s">
        <v>50</v>
      </c>
      <c r="C41" s="15" t="s">
        <v>113</v>
      </c>
      <c r="D41" s="15">
        <v>1.0</v>
      </c>
      <c r="E41" s="15">
        <v>1.0</v>
      </c>
      <c r="F41" s="18">
        <v>699.0</v>
      </c>
      <c r="G41" s="18">
        <v>0.0</v>
      </c>
      <c r="H41" s="18">
        <v>699.0</v>
      </c>
      <c r="I41" s="19">
        <v>4.5914700746208474E-4</v>
      </c>
      <c r="J41" s="15" t="s">
        <v>114</v>
      </c>
      <c r="K41" s="15" t="s">
        <v>212</v>
      </c>
      <c r="L41" s="15"/>
    </row>
    <row r="42" ht="15.0" customHeight="1">
      <c r="A42" s="15" t="s">
        <v>198</v>
      </c>
      <c r="B42" s="15" t="s">
        <v>64</v>
      </c>
      <c r="C42" s="15" t="s">
        <v>199</v>
      </c>
      <c r="D42" s="15">
        <v>14.0</v>
      </c>
      <c r="E42" s="15">
        <v>14.0</v>
      </c>
      <c r="F42" s="18">
        <v>329.08</v>
      </c>
      <c r="G42" s="18">
        <v>0.0</v>
      </c>
      <c r="H42" s="18">
        <v>329.08</v>
      </c>
      <c r="I42" s="19">
        <v>2.1616036797657056E-4</v>
      </c>
      <c r="J42" s="15" t="s">
        <v>83</v>
      </c>
      <c r="K42" s="15"/>
      <c r="L42" s="15"/>
    </row>
    <row r="43" ht="15.0" customHeight="1">
      <c r="A43" s="15" t="s">
        <v>112</v>
      </c>
      <c r="B43" s="15" t="s">
        <v>50</v>
      </c>
      <c r="C43" s="15" t="s">
        <v>113</v>
      </c>
      <c r="D43" s="15">
        <v>1.0</v>
      </c>
      <c r="E43" s="15">
        <v>1.0</v>
      </c>
      <c r="F43" s="18">
        <v>293.9</v>
      </c>
      <c r="G43" s="18">
        <v>0.0</v>
      </c>
      <c r="H43" s="18">
        <v>293.9</v>
      </c>
      <c r="I43" s="19">
        <v>1.9305193918899385E-4</v>
      </c>
      <c r="J43" s="15" t="s">
        <v>114</v>
      </c>
      <c r="K43" s="15" t="s">
        <v>115</v>
      </c>
      <c r="L43" s="15"/>
    </row>
    <row r="44" ht="15.0" customHeight="1">
      <c r="A44" s="15" t="s">
        <v>582</v>
      </c>
      <c r="B44" s="15" t="s">
        <v>9</v>
      </c>
      <c r="C44" s="15" t="s">
        <v>583</v>
      </c>
      <c r="D44" s="15">
        <v>2.0</v>
      </c>
      <c r="E44" s="15">
        <v>1.0</v>
      </c>
      <c r="F44" s="18">
        <v>2.0</v>
      </c>
      <c r="G44" s="18">
        <v>2.0</v>
      </c>
      <c r="H44" s="18">
        <v>0.0</v>
      </c>
      <c r="I44" s="19">
        <v>0.0</v>
      </c>
      <c r="J44" s="15" t="s">
        <v>97</v>
      </c>
      <c r="K44" s="15"/>
      <c r="L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2.75"/>
    <col customWidth="1" min="3" max="3" width="9.25"/>
    <col customWidth="1" min="4" max="4" width="11.13"/>
    <col customWidth="1" min="5" max="5" width="17.75"/>
    <col customWidth="1" min="6" max="26" width="8.63"/>
  </cols>
  <sheetData>
    <row r="1" ht="15.0" customHeight="1">
      <c r="A1" s="12" t="s">
        <v>792</v>
      </c>
      <c r="B1" s="12" t="s">
        <v>31</v>
      </c>
      <c r="C1" s="12" t="s">
        <v>32</v>
      </c>
      <c r="D1" s="12" t="s">
        <v>6</v>
      </c>
      <c r="E1" s="12" t="s">
        <v>793</v>
      </c>
    </row>
    <row r="2" ht="15.0" customHeight="1">
      <c r="A2" s="14" t="s">
        <v>794</v>
      </c>
      <c r="B2" s="16">
        <v>53549.54</v>
      </c>
      <c r="C2" s="16">
        <v>0.0</v>
      </c>
      <c r="D2" s="16">
        <v>53549.54</v>
      </c>
      <c r="E2" s="16">
        <v>29757.0</v>
      </c>
    </row>
    <row r="3" ht="15.0" customHeight="1">
      <c r="A3" s="14" t="s">
        <v>795</v>
      </c>
      <c r="B3" s="16">
        <v>42095.09</v>
      </c>
      <c r="C3" s="16">
        <v>1716.0</v>
      </c>
      <c r="D3" s="16">
        <v>40379.09</v>
      </c>
      <c r="E3" s="16">
        <v>76675.0</v>
      </c>
    </row>
    <row r="4" ht="15.0" customHeight="1">
      <c r="A4" s="14" t="s">
        <v>796</v>
      </c>
      <c r="B4" s="16">
        <v>185743.62</v>
      </c>
      <c r="C4" s="16">
        <v>0.0</v>
      </c>
      <c r="D4" s="16">
        <v>185743.62</v>
      </c>
      <c r="E4" s="16">
        <v>40825.0</v>
      </c>
    </row>
    <row r="5" ht="15.0" customHeight="1">
      <c r="A5" s="14" t="s">
        <v>797</v>
      </c>
      <c r="B5" s="16">
        <v>56125.81</v>
      </c>
      <c r="C5" s="16">
        <v>8822.11</v>
      </c>
      <c r="D5" s="16">
        <v>47303.7</v>
      </c>
      <c r="E5" s="16">
        <v>193005.0</v>
      </c>
    </row>
    <row r="6" ht="15.0" customHeight="1">
      <c r="A6" s="14" t="s">
        <v>798</v>
      </c>
      <c r="B6" s="16">
        <v>74361.68</v>
      </c>
      <c r="C6" s="16">
        <v>0.0</v>
      </c>
      <c r="D6" s="16">
        <v>74361.68</v>
      </c>
      <c r="E6" s="16">
        <v>28926.0</v>
      </c>
    </row>
    <row r="7" ht="15.0" customHeight="1">
      <c r="A7" s="14" t="s">
        <v>799</v>
      </c>
      <c r="B7" s="16">
        <v>165954.6</v>
      </c>
      <c r="C7" s="16">
        <v>5006.0</v>
      </c>
      <c r="D7" s="16">
        <v>160948.6</v>
      </c>
      <c r="E7" s="16">
        <v>66267.0</v>
      </c>
    </row>
    <row r="8" ht="15.0" customHeight="1">
      <c r="A8" s="14" t="s">
        <v>800</v>
      </c>
      <c r="B8" s="16">
        <v>188120.74</v>
      </c>
      <c r="C8" s="16">
        <v>3278.09</v>
      </c>
      <c r="D8" s="16">
        <v>184842.65</v>
      </c>
      <c r="E8" s="16">
        <v>115088.0</v>
      </c>
    </row>
    <row r="9" ht="15.0" customHeight="1">
      <c r="A9" s="14" t="s">
        <v>801</v>
      </c>
      <c r="B9" s="16">
        <v>158040.51</v>
      </c>
      <c r="C9" s="16">
        <v>0.0</v>
      </c>
      <c r="D9" s="16">
        <v>158040.51</v>
      </c>
      <c r="E9" s="16">
        <v>164382.0</v>
      </c>
    </row>
    <row r="10" ht="15.0" customHeight="1">
      <c r="A10" s="14" t="s">
        <v>802</v>
      </c>
      <c r="B10" s="16">
        <v>159645.55</v>
      </c>
      <c r="C10" s="16">
        <v>3842.0</v>
      </c>
      <c r="D10" s="16">
        <v>155803.55</v>
      </c>
      <c r="E10" s="16">
        <v>238887.0</v>
      </c>
    </row>
    <row r="11" ht="15.0" customHeight="1">
      <c r="A11" s="14" t="s">
        <v>803</v>
      </c>
      <c r="B11" s="16">
        <v>161910.41</v>
      </c>
      <c r="C11" s="16">
        <v>1394.0</v>
      </c>
      <c r="D11" s="16">
        <v>160516.41</v>
      </c>
      <c r="E11" s="16">
        <v>114662.0</v>
      </c>
    </row>
    <row r="12" ht="15.0" customHeight="1">
      <c r="A12" s="14" t="s">
        <v>804</v>
      </c>
      <c r="B12" s="16">
        <v>91250.05</v>
      </c>
      <c r="C12" s="16">
        <v>2155.41</v>
      </c>
      <c r="D12" s="16">
        <v>89094.64</v>
      </c>
      <c r="E12" s="16">
        <v>155137.0</v>
      </c>
    </row>
    <row r="13" ht="15.0" customHeight="1">
      <c r="A13" s="14" t="s">
        <v>805</v>
      </c>
      <c r="B13" s="16">
        <v>211833.09</v>
      </c>
      <c r="C13" s="16">
        <v>28.85</v>
      </c>
      <c r="D13" s="16">
        <v>211804.24</v>
      </c>
      <c r="E13" s="16">
        <v>125395.0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75"/>
    <col customWidth="1" min="3" max="3" width="9.25"/>
    <col customWidth="1" min="4" max="4" width="11.13"/>
    <col customWidth="1" min="5" max="5" width="17.75"/>
    <col customWidth="1" min="6" max="26" width="8.63"/>
  </cols>
  <sheetData>
    <row r="1" ht="15.0" customHeight="1">
      <c r="A1" s="12" t="s">
        <v>69</v>
      </c>
      <c r="B1" s="12" t="s">
        <v>31</v>
      </c>
      <c r="C1" s="12" t="s">
        <v>32</v>
      </c>
      <c r="D1" s="12" t="s">
        <v>6</v>
      </c>
      <c r="E1" s="12" t="s">
        <v>793</v>
      </c>
    </row>
    <row r="2" ht="15.0" customHeight="1">
      <c r="A2" s="14" t="s">
        <v>79</v>
      </c>
      <c r="B2" s="16">
        <v>1365952.43</v>
      </c>
      <c r="C2" s="16">
        <v>26242.46</v>
      </c>
      <c r="D2" s="16">
        <v>1339709.97</v>
      </c>
      <c r="E2" s="16">
        <v>1349006.0</v>
      </c>
    </row>
    <row r="3" ht="15.0" customHeight="1">
      <c r="A3" s="14" t="s">
        <v>126</v>
      </c>
      <c r="B3" s="16">
        <v>94909.31</v>
      </c>
      <c r="C3" s="16">
        <v>0.0</v>
      </c>
      <c r="D3" s="16">
        <v>94909.31</v>
      </c>
      <c r="E3" s="16">
        <v>0.0</v>
      </c>
    </row>
    <row r="4" ht="15.0" customHeight="1">
      <c r="A4" s="14" t="s">
        <v>160</v>
      </c>
      <c r="B4" s="16">
        <v>87768.95</v>
      </c>
      <c r="C4" s="16">
        <v>0.0</v>
      </c>
      <c r="D4" s="16">
        <v>87768.95</v>
      </c>
      <c r="E4" s="1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7.0"/>
    <col customWidth="1" min="3" max="3" width="17.25"/>
    <col customWidth="1" min="4" max="4" width="13.75"/>
    <col customWidth="1" min="5" max="5" width="36.0"/>
    <col customWidth="1" min="6" max="6" width="30.0"/>
    <col customWidth="1" min="7" max="7" width="34.0"/>
    <col customWidth="1" min="8" max="8" width="33.63"/>
    <col customWidth="1" min="9" max="9" width="18.75"/>
    <col customWidth="1" min="10" max="10" width="9.25"/>
    <col customWidth="1" min="11" max="11" width="12.75"/>
    <col customWidth="1" min="12" max="12" width="16.25"/>
    <col customWidth="1" min="13" max="13" width="12.75"/>
    <col customWidth="1" min="14" max="14" width="11.88"/>
    <col customWidth="1" min="15" max="15" width="45.0"/>
    <col customWidth="1" min="16" max="26" width="8.63"/>
  </cols>
  <sheetData>
    <row r="1" ht="15.0" customHeight="1">
      <c r="A1" s="12" t="s">
        <v>66</v>
      </c>
      <c r="B1" s="12" t="s">
        <v>67</v>
      </c>
      <c r="C1" s="12" t="s">
        <v>68</v>
      </c>
      <c r="D1" s="12" t="s">
        <v>69</v>
      </c>
      <c r="E1" s="12" t="s">
        <v>70</v>
      </c>
      <c r="F1" s="12" t="s">
        <v>35</v>
      </c>
      <c r="G1" s="12" t="s">
        <v>5</v>
      </c>
      <c r="H1" s="12" t="s">
        <v>71</v>
      </c>
      <c r="I1" s="12" t="s">
        <v>72</v>
      </c>
      <c r="J1" s="12" t="s">
        <v>73</v>
      </c>
      <c r="K1" s="12" t="s">
        <v>31</v>
      </c>
      <c r="L1" s="12" t="s">
        <v>74</v>
      </c>
      <c r="M1" s="12" t="s">
        <v>75</v>
      </c>
      <c r="N1" s="12" t="s">
        <v>76</v>
      </c>
      <c r="O1" s="12" t="s">
        <v>4</v>
      </c>
    </row>
    <row r="2" ht="15.0" customHeight="1">
      <c r="A2" s="13">
        <v>45753.0</v>
      </c>
      <c r="B2" s="14" t="s">
        <v>93</v>
      </c>
      <c r="C2" s="14" t="s">
        <v>78</v>
      </c>
      <c r="D2" s="14" t="s">
        <v>79</v>
      </c>
      <c r="E2" s="15" t="s">
        <v>94</v>
      </c>
      <c r="F2" s="15" t="s">
        <v>95</v>
      </c>
      <c r="G2" s="15" t="s">
        <v>58</v>
      </c>
      <c r="H2" s="15" t="s">
        <v>96</v>
      </c>
      <c r="I2" s="15" t="s">
        <v>82</v>
      </c>
      <c r="J2" s="18">
        <v>823.64</v>
      </c>
      <c r="K2" s="18">
        <v>823.64</v>
      </c>
      <c r="L2" s="18">
        <v>0.0</v>
      </c>
      <c r="M2" s="18">
        <v>823.64</v>
      </c>
      <c r="N2" s="15" t="s">
        <v>97</v>
      </c>
      <c r="O2" s="15" t="s">
        <v>98</v>
      </c>
    </row>
    <row r="3" ht="15.0" customHeight="1">
      <c r="A3" s="13">
        <v>45764.0</v>
      </c>
      <c r="B3" s="14" t="s">
        <v>110</v>
      </c>
      <c r="C3" s="14" t="s">
        <v>78</v>
      </c>
      <c r="D3" s="14" t="s">
        <v>79</v>
      </c>
      <c r="E3" s="15" t="s">
        <v>111</v>
      </c>
      <c r="F3" s="15" t="s">
        <v>112</v>
      </c>
      <c r="G3" s="15" t="s">
        <v>50</v>
      </c>
      <c r="H3" s="15" t="s">
        <v>113</v>
      </c>
      <c r="I3" s="15" t="s">
        <v>82</v>
      </c>
      <c r="J3" s="18">
        <v>293.9</v>
      </c>
      <c r="K3" s="18">
        <v>293.9</v>
      </c>
      <c r="L3" s="18">
        <v>0.0</v>
      </c>
      <c r="M3" s="18">
        <v>293.9</v>
      </c>
      <c r="N3" s="15" t="s">
        <v>114</v>
      </c>
      <c r="O3" s="15" t="s">
        <v>115</v>
      </c>
    </row>
    <row r="4" ht="15.0" customHeight="1">
      <c r="A4" s="13">
        <v>45767.0</v>
      </c>
      <c r="B4" s="14" t="s">
        <v>119</v>
      </c>
      <c r="C4" s="14" t="s">
        <v>78</v>
      </c>
      <c r="D4" s="14" t="s">
        <v>79</v>
      </c>
      <c r="E4" s="15" t="s">
        <v>120</v>
      </c>
      <c r="F4" s="15" t="s">
        <v>121</v>
      </c>
      <c r="G4" s="15" t="s">
        <v>62</v>
      </c>
      <c r="H4" s="15" t="s">
        <v>122</v>
      </c>
      <c r="I4" s="15" t="s">
        <v>82</v>
      </c>
      <c r="J4" s="18">
        <v>989.0</v>
      </c>
      <c r="K4" s="18">
        <v>989.0</v>
      </c>
      <c r="L4" s="18">
        <v>0.0</v>
      </c>
      <c r="M4" s="18">
        <v>989.0</v>
      </c>
      <c r="N4" s="15" t="s">
        <v>97</v>
      </c>
      <c r="O4" s="15" t="s">
        <v>123</v>
      </c>
    </row>
    <row r="5" ht="15.0" customHeight="1">
      <c r="A5" s="13">
        <v>45781.0</v>
      </c>
      <c r="B5" s="14" t="s">
        <v>137</v>
      </c>
      <c r="C5" s="14" t="s">
        <v>136</v>
      </c>
      <c r="D5" s="14" t="s">
        <v>79</v>
      </c>
      <c r="E5" s="15" t="s">
        <v>94</v>
      </c>
      <c r="F5" s="15" t="s">
        <v>95</v>
      </c>
      <c r="G5" s="15" t="s">
        <v>58</v>
      </c>
      <c r="H5" s="15" t="s">
        <v>96</v>
      </c>
      <c r="I5" s="15" t="s">
        <v>82</v>
      </c>
      <c r="J5" s="18">
        <v>823.64</v>
      </c>
      <c r="K5" s="18">
        <v>823.64</v>
      </c>
      <c r="L5" s="18">
        <v>0.0</v>
      </c>
      <c r="M5" s="18">
        <v>823.64</v>
      </c>
      <c r="N5" s="15" t="s">
        <v>97</v>
      </c>
      <c r="O5" s="15" t="s">
        <v>98</v>
      </c>
    </row>
    <row r="6" ht="15.0" customHeight="1">
      <c r="A6" s="13">
        <v>45781.0</v>
      </c>
      <c r="B6" s="14" t="s">
        <v>138</v>
      </c>
      <c r="C6" s="14" t="s">
        <v>136</v>
      </c>
      <c r="D6" s="14" t="s">
        <v>79</v>
      </c>
      <c r="E6" s="15" t="s">
        <v>94</v>
      </c>
      <c r="F6" s="15" t="s">
        <v>95</v>
      </c>
      <c r="G6" s="15" t="s">
        <v>58</v>
      </c>
      <c r="H6" s="15" t="s">
        <v>96</v>
      </c>
      <c r="I6" s="15" t="s">
        <v>82</v>
      </c>
      <c r="J6" s="18">
        <v>1744.02</v>
      </c>
      <c r="K6" s="18">
        <v>1744.02</v>
      </c>
      <c r="L6" s="18">
        <v>0.0</v>
      </c>
      <c r="M6" s="18">
        <v>1744.02</v>
      </c>
      <c r="N6" s="15" t="s">
        <v>97</v>
      </c>
      <c r="O6" s="15" t="s">
        <v>98</v>
      </c>
    </row>
    <row r="7" ht="15.0" customHeight="1">
      <c r="A7" s="13">
        <v>45810.0</v>
      </c>
      <c r="B7" s="14" t="s">
        <v>193</v>
      </c>
      <c r="C7" s="14" t="s">
        <v>170</v>
      </c>
      <c r="D7" s="14" t="s">
        <v>79</v>
      </c>
      <c r="E7" s="15" t="s">
        <v>94</v>
      </c>
      <c r="F7" s="15" t="s">
        <v>95</v>
      </c>
      <c r="G7" s="15" t="s">
        <v>58</v>
      </c>
      <c r="H7" s="15" t="s">
        <v>96</v>
      </c>
      <c r="I7" s="15" t="s">
        <v>82</v>
      </c>
      <c r="J7" s="18">
        <v>823.64</v>
      </c>
      <c r="K7" s="18">
        <v>823.64</v>
      </c>
      <c r="L7" s="18">
        <v>0.0</v>
      </c>
      <c r="M7" s="18">
        <v>823.64</v>
      </c>
      <c r="N7" s="15" t="s">
        <v>97</v>
      </c>
      <c r="O7" s="15" t="s">
        <v>98</v>
      </c>
    </row>
    <row r="8" ht="15.0" customHeight="1">
      <c r="A8" s="13">
        <v>45810.0</v>
      </c>
      <c r="B8" s="14" t="s">
        <v>196</v>
      </c>
      <c r="C8" s="14" t="s">
        <v>170</v>
      </c>
      <c r="D8" s="14" t="s">
        <v>79</v>
      </c>
      <c r="E8" s="15" t="s">
        <v>94</v>
      </c>
      <c r="F8" s="15" t="s">
        <v>95</v>
      </c>
      <c r="G8" s="15" t="s">
        <v>58</v>
      </c>
      <c r="H8" s="15" t="s">
        <v>96</v>
      </c>
      <c r="I8" s="15" t="s">
        <v>82</v>
      </c>
      <c r="J8" s="18">
        <v>1744.02</v>
      </c>
      <c r="K8" s="18">
        <v>1744.02</v>
      </c>
      <c r="L8" s="18">
        <v>0.0</v>
      </c>
      <c r="M8" s="18">
        <v>1744.02</v>
      </c>
      <c r="N8" s="15" t="s">
        <v>97</v>
      </c>
      <c r="O8" s="15" t="s">
        <v>98</v>
      </c>
    </row>
    <row r="9" ht="15.0" customHeight="1">
      <c r="A9" s="13">
        <v>45822.0</v>
      </c>
      <c r="B9" s="14" t="s">
        <v>210</v>
      </c>
      <c r="C9" s="14" t="s">
        <v>170</v>
      </c>
      <c r="D9" s="14" t="s">
        <v>79</v>
      </c>
      <c r="E9" s="15" t="s">
        <v>211</v>
      </c>
      <c r="F9" s="15" t="s">
        <v>211</v>
      </c>
      <c r="G9" s="15" t="s">
        <v>50</v>
      </c>
      <c r="H9" s="15" t="s">
        <v>113</v>
      </c>
      <c r="I9" s="15" t="s">
        <v>82</v>
      </c>
      <c r="J9" s="18">
        <v>2461.76</v>
      </c>
      <c r="K9" s="18">
        <v>2461.76</v>
      </c>
      <c r="L9" s="18">
        <v>0.0</v>
      </c>
      <c r="M9" s="18">
        <v>2461.76</v>
      </c>
      <c r="N9" s="15" t="s">
        <v>114</v>
      </c>
      <c r="O9" s="15" t="s">
        <v>212</v>
      </c>
    </row>
    <row r="10" ht="15.0" customHeight="1">
      <c r="A10" s="13">
        <v>45822.0</v>
      </c>
      <c r="B10" s="14" t="s">
        <v>215</v>
      </c>
      <c r="C10" s="14" t="s">
        <v>170</v>
      </c>
      <c r="D10" s="14" t="s">
        <v>79</v>
      </c>
      <c r="E10" s="15" t="s">
        <v>216</v>
      </c>
      <c r="F10" s="15" t="s">
        <v>53</v>
      </c>
      <c r="G10" s="15" t="s">
        <v>36</v>
      </c>
      <c r="H10" s="15" t="s">
        <v>217</v>
      </c>
      <c r="I10" s="15" t="s">
        <v>82</v>
      </c>
      <c r="J10" s="18">
        <v>2000.0</v>
      </c>
      <c r="K10" s="18">
        <v>2000.0</v>
      </c>
      <c r="L10" s="18">
        <v>0.0</v>
      </c>
      <c r="M10" s="18">
        <v>2000.0</v>
      </c>
      <c r="N10" s="15" t="s">
        <v>97</v>
      </c>
      <c r="O10" s="15" t="s">
        <v>218</v>
      </c>
    </row>
    <row r="11" ht="15.0" customHeight="1">
      <c r="A11" s="13">
        <v>45837.0</v>
      </c>
      <c r="B11" s="14" t="s">
        <v>241</v>
      </c>
      <c r="C11" s="14" t="s">
        <v>239</v>
      </c>
      <c r="D11" s="14" t="s">
        <v>79</v>
      </c>
      <c r="E11" s="15" t="s">
        <v>242</v>
      </c>
      <c r="F11" s="15" t="s">
        <v>242</v>
      </c>
      <c r="G11" s="15" t="s">
        <v>50</v>
      </c>
      <c r="H11" s="15" t="s">
        <v>113</v>
      </c>
      <c r="I11" s="15" t="s">
        <v>82</v>
      </c>
      <c r="J11" s="18">
        <v>3136.41</v>
      </c>
      <c r="K11" s="18">
        <v>3136.41</v>
      </c>
      <c r="L11" s="18">
        <v>0.0</v>
      </c>
      <c r="M11" s="18">
        <v>3136.41</v>
      </c>
      <c r="N11" s="15" t="s">
        <v>114</v>
      </c>
      <c r="O11" s="15" t="s">
        <v>212</v>
      </c>
    </row>
    <row r="12" ht="15.0" customHeight="1">
      <c r="A12" s="13">
        <v>45839.0</v>
      </c>
      <c r="B12" s="14" t="s">
        <v>243</v>
      </c>
      <c r="C12" s="14" t="s">
        <v>239</v>
      </c>
      <c r="D12" s="14" t="s">
        <v>79</v>
      </c>
      <c r="E12" s="15" t="s">
        <v>244</v>
      </c>
      <c r="F12" s="15" t="s">
        <v>53</v>
      </c>
      <c r="G12" s="15" t="s">
        <v>36</v>
      </c>
      <c r="H12" s="15" t="s">
        <v>217</v>
      </c>
      <c r="I12" s="15" t="s">
        <v>82</v>
      </c>
      <c r="J12" s="18">
        <v>5206.5</v>
      </c>
      <c r="K12" s="18">
        <v>5206.5</v>
      </c>
      <c r="L12" s="18">
        <v>0.0</v>
      </c>
      <c r="M12" s="18">
        <v>5206.5</v>
      </c>
      <c r="N12" s="15" t="s">
        <v>97</v>
      </c>
      <c r="O12" s="15" t="s">
        <v>218</v>
      </c>
    </row>
    <row r="13" ht="15.0" customHeight="1">
      <c r="A13" s="13">
        <v>45865.0</v>
      </c>
      <c r="B13" s="14" t="s">
        <v>275</v>
      </c>
      <c r="C13" s="14" t="s">
        <v>265</v>
      </c>
      <c r="D13" s="14" t="s">
        <v>79</v>
      </c>
      <c r="E13" s="15" t="s">
        <v>276</v>
      </c>
      <c r="F13" s="15" t="s">
        <v>40</v>
      </c>
      <c r="G13" s="15" t="s">
        <v>21</v>
      </c>
      <c r="H13" s="15" t="s">
        <v>150</v>
      </c>
      <c r="I13" s="15" t="s">
        <v>82</v>
      </c>
      <c r="J13" s="18">
        <v>4575.0</v>
      </c>
      <c r="K13" s="18">
        <v>4575.0</v>
      </c>
      <c r="L13" s="18">
        <v>0.0</v>
      </c>
      <c r="M13" s="18">
        <v>4575.0</v>
      </c>
      <c r="N13" s="15" t="s">
        <v>97</v>
      </c>
      <c r="O13" s="15"/>
    </row>
    <row r="14" ht="15.0" customHeight="1">
      <c r="A14" s="13">
        <v>45865.0</v>
      </c>
      <c r="B14" s="14" t="s">
        <v>277</v>
      </c>
      <c r="C14" s="14" t="s">
        <v>265</v>
      </c>
      <c r="D14" s="14" t="s">
        <v>79</v>
      </c>
      <c r="E14" s="15" t="s">
        <v>278</v>
      </c>
      <c r="F14" s="15" t="s">
        <v>279</v>
      </c>
      <c r="G14" s="15" t="s">
        <v>21</v>
      </c>
      <c r="H14" s="15" t="s">
        <v>280</v>
      </c>
      <c r="I14" s="15" t="s">
        <v>82</v>
      </c>
      <c r="J14" s="18">
        <v>9145.0</v>
      </c>
      <c r="K14" s="18">
        <v>9145.0</v>
      </c>
      <c r="L14" s="18">
        <v>0.0</v>
      </c>
      <c r="M14" s="18">
        <v>9145.0</v>
      </c>
      <c r="N14" s="15" t="s">
        <v>114</v>
      </c>
      <c r="O14" s="15" t="s">
        <v>281</v>
      </c>
    </row>
    <row r="15" ht="15.0" customHeight="1">
      <c r="A15" s="13">
        <v>45905.0</v>
      </c>
      <c r="B15" s="14"/>
      <c r="C15" s="14" t="s">
        <v>312</v>
      </c>
      <c r="D15" s="14" t="s">
        <v>79</v>
      </c>
      <c r="E15" s="15" t="s">
        <v>322</v>
      </c>
      <c r="F15" s="15" t="s">
        <v>121</v>
      </c>
      <c r="G15" s="15" t="s">
        <v>62</v>
      </c>
      <c r="H15" s="15" t="s">
        <v>122</v>
      </c>
      <c r="I15" s="15" t="s">
        <v>175</v>
      </c>
      <c r="J15" s="18">
        <v>-284.0</v>
      </c>
      <c r="K15" s="18">
        <v>0.0</v>
      </c>
      <c r="L15" s="18">
        <v>284.0</v>
      </c>
      <c r="M15" s="18">
        <v>-284.0</v>
      </c>
      <c r="N15" s="15" t="s">
        <v>97</v>
      </c>
      <c r="O15" s="15" t="s">
        <v>123</v>
      </c>
    </row>
    <row r="16" ht="15.0" customHeight="1">
      <c r="A16" s="13">
        <v>45905.0</v>
      </c>
      <c r="B16" s="14" t="s">
        <v>323</v>
      </c>
      <c r="C16" s="14" t="s">
        <v>312</v>
      </c>
      <c r="D16" s="14" t="s">
        <v>79</v>
      </c>
      <c r="E16" s="15" t="s">
        <v>322</v>
      </c>
      <c r="F16" s="15" t="s">
        <v>121</v>
      </c>
      <c r="G16" s="15" t="s">
        <v>62</v>
      </c>
      <c r="H16" s="15" t="s">
        <v>122</v>
      </c>
      <c r="I16" s="15" t="s">
        <v>82</v>
      </c>
      <c r="J16" s="18">
        <v>284.0</v>
      </c>
      <c r="K16" s="18">
        <v>284.0</v>
      </c>
      <c r="L16" s="18">
        <v>0.0</v>
      </c>
      <c r="M16" s="18">
        <v>284.0</v>
      </c>
      <c r="N16" s="15" t="s">
        <v>97</v>
      </c>
      <c r="O16" s="15" t="s">
        <v>123</v>
      </c>
    </row>
    <row r="17" ht="15.0" customHeight="1">
      <c r="A17" s="13">
        <v>45911.0</v>
      </c>
      <c r="B17" s="14" t="s">
        <v>342</v>
      </c>
      <c r="C17" s="14" t="s">
        <v>312</v>
      </c>
      <c r="D17" s="14" t="s">
        <v>79</v>
      </c>
      <c r="E17" s="15" t="s">
        <v>242</v>
      </c>
      <c r="F17" s="15" t="s">
        <v>242</v>
      </c>
      <c r="G17" s="15" t="s">
        <v>50</v>
      </c>
      <c r="H17" s="15" t="s">
        <v>113</v>
      </c>
      <c r="I17" s="15" t="s">
        <v>82</v>
      </c>
      <c r="J17" s="18">
        <v>1110.82</v>
      </c>
      <c r="K17" s="18">
        <v>1110.82</v>
      </c>
      <c r="L17" s="18">
        <v>0.0</v>
      </c>
      <c r="M17" s="18">
        <v>1110.82</v>
      </c>
      <c r="N17" s="15" t="s">
        <v>114</v>
      </c>
      <c r="O17" s="15" t="s">
        <v>212</v>
      </c>
    </row>
    <row r="18" ht="15.0" customHeight="1">
      <c r="A18" s="13">
        <v>45942.0</v>
      </c>
      <c r="B18" s="14" t="s">
        <v>416</v>
      </c>
      <c r="C18" s="14" t="s">
        <v>370</v>
      </c>
      <c r="D18" s="14" t="s">
        <v>79</v>
      </c>
      <c r="E18" s="15" t="s">
        <v>242</v>
      </c>
      <c r="F18" s="15" t="s">
        <v>242</v>
      </c>
      <c r="G18" s="15" t="s">
        <v>50</v>
      </c>
      <c r="H18" s="15" t="s">
        <v>113</v>
      </c>
      <c r="I18" s="15" t="s">
        <v>82</v>
      </c>
      <c r="J18" s="18">
        <v>3917.68</v>
      </c>
      <c r="K18" s="18">
        <v>3917.68</v>
      </c>
      <c r="L18" s="18">
        <v>0.0</v>
      </c>
      <c r="M18" s="18">
        <v>3917.68</v>
      </c>
      <c r="N18" s="15" t="s">
        <v>114</v>
      </c>
      <c r="O18" s="15" t="s">
        <v>212</v>
      </c>
    </row>
    <row r="19" ht="15.0" customHeight="1">
      <c r="A19" s="13">
        <v>45948.0</v>
      </c>
      <c r="B19" s="14" t="s">
        <v>424</v>
      </c>
      <c r="C19" s="14" t="s">
        <v>370</v>
      </c>
      <c r="D19" s="14" t="s">
        <v>79</v>
      </c>
      <c r="E19" s="15" t="s">
        <v>425</v>
      </c>
      <c r="F19" s="15" t="s">
        <v>425</v>
      </c>
      <c r="G19" s="15" t="s">
        <v>50</v>
      </c>
      <c r="H19" s="15" t="s">
        <v>113</v>
      </c>
      <c r="I19" s="15" t="s">
        <v>82</v>
      </c>
      <c r="J19" s="18">
        <v>998.0</v>
      </c>
      <c r="K19" s="18">
        <v>998.0</v>
      </c>
      <c r="L19" s="18">
        <v>0.0</v>
      </c>
      <c r="M19" s="18">
        <v>998.0</v>
      </c>
      <c r="N19" s="15" t="s">
        <v>114</v>
      </c>
      <c r="O19" s="15" t="s">
        <v>212</v>
      </c>
    </row>
    <row r="20" ht="15.0" customHeight="1">
      <c r="A20" s="13">
        <v>45948.0</v>
      </c>
      <c r="B20" s="14" t="s">
        <v>427</v>
      </c>
      <c r="C20" s="14" t="s">
        <v>370</v>
      </c>
      <c r="D20" s="14" t="s">
        <v>79</v>
      </c>
      <c r="E20" s="15" t="s">
        <v>276</v>
      </c>
      <c r="F20" s="15" t="s">
        <v>40</v>
      </c>
      <c r="G20" s="15" t="s">
        <v>21</v>
      </c>
      <c r="H20" s="15" t="s">
        <v>150</v>
      </c>
      <c r="I20" s="15" t="s">
        <v>82</v>
      </c>
      <c r="J20" s="18">
        <v>2398.0</v>
      </c>
      <c r="K20" s="18">
        <v>2398.0</v>
      </c>
      <c r="L20" s="18">
        <v>0.0</v>
      </c>
      <c r="M20" s="18">
        <v>2398.0</v>
      </c>
      <c r="N20" s="15" t="s">
        <v>97</v>
      </c>
      <c r="O20" s="15"/>
    </row>
    <row r="21" ht="15.0" customHeight="1">
      <c r="A21" s="13">
        <v>45982.0</v>
      </c>
      <c r="B21" s="14" t="s">
        <v>504</v>
      </c>
      <c r="C21" s="14" t="s">
        <v>445</v>
      </c>
      <c r="D21" s="14" t="s">
        <v>79</v>
      </c>
      <c r="E21" s="15" t="s">
        <v>244</v>
      </c>
      <c r="F21" s="15" t="s">
        <v>53</v>
      </c>
      <c r="G21" s="15" t="s">
        <v>36</v>
      </c>
      <c r="H21" s="15" t="s">
        <v>217</v>
      </c>
      <c r="I21" s="15" t="s">
        <v>82</v>
      </c>
      <c r="J21" s="18">
        <v>10413.0</v>
      </c>
      <c r="K21" s="18">
        <v>10413.0</v>
      </c>
      <c r="L21" s="18">
        <v>0.0</v>
      </c>
      <c r="M21" s="18">
        <v>10413.0</v>
      </c>
      <c r="N21" s="15" t="s">
        <v>97</v>
      </c>
      <c r="O21" s="15" t="s">
        <v>218</v>
      </c>
    </row>
    <row r="22" ht="15.0" customHeight="1">
      <c r="A22" s="13">
        <v>45996.0</v>
      </c>
      <c r="B22" s="14" t="s">
        <v>568</v>
      </c>
      <c r="C22" s="14" t="s">
        <v>509</v>
      </c>
      <c r="D22" s="14" t="s">
        <v>160</v>
      </c>
      <c r="E22" s="15" t="s">
        <v>569</v>
      </c>
      <c r="F22" s="15" t="s">
        <v>569</v>
      </c>
      <c r="G22" s="15" t="s">
        <v>50</v>
      </c>
      <c r="H22" s="15" t="s">
        <v>113</v>
      </c>
      <c r="I22" s="15" t="s">
        <v>82</v>
      </c>
      <c r="J22" s="18">
        <v>1386.0</v>
      </c>
      <c r="K22" s="18">
        <v>1386.0</v>
      </c>
      <c r="L22" s="18">
        <v>0.0</v>
      </c>
      <c r="M22" s="18">
        <v>1386.0</v>
      </c>
      <c r="N22" s="15" t="s">
        <v>114</v>
      </c>
      <c r="O22" s="15" t="s">
        <v>212</v>
      </c>
    </row>
    <row r="23" ht="15.0" customHeight="1">
      <c r="A23" s="13">
        <v>46020.0</v>
      </c>
      <c r="B23" s="14" t="s">
        <v>580</v>
      </c>
      <c r="C23" s="14" t="s">
        <v>574</v>
      </c>
      <c r="D23" s="14" t="s">
        <v>79</v>
      </c>
      <c r="E23" s="15" t="s">
        <v>581</v>
      </c>
      <c r="F23" s="15" t="s">
        <v>582</v>
      </c>
      <c r="G23" s="15" t="s">
        <v>9</v>
      </c>
      <c r="H23" s="15" t="s">
        <v>583</v>
      </c>
      <c r="I23" s="15" t="s">
        <v>82</v>
      </c>
      <c r="J23" s="18">
        <v>2.0</v>
      </c>
      <c r="K23" s="18">
        <v>2.0</v>
      </c>
      <c r="L23" s="18">
        <v>0.0</v>
      </c>
      <c r="M23" s="18">
        <v>2.0</v>
      </c>
      <c r="N23" s="15" t="s">
        <v>97</v>
      </c>
      <c r="O23" s="15"/>
    </row>
    <row r="24" ht="15.0" customHeight="1">
      <c r="A24" s="13">
        <v>46020.0</v>
      </c>
      <c r="B24" s="14"/>
      <c r="C24" s="14" t="s">
        <v>574</v>
      </c>
      <c r="D24" s="14" t="s">
        <v>79</v>
      </c>
      <c r="E24" s="15" t="s">
        <v>581</v>
      </c>
      <c r="F24" s="15" t="s">
        <v>582</v>
      </c>
      <c r="G24" s="15" t="s">
        <v>9</v>
      </c>
      <c r="H24" s="15" t="s">
        <v>583</v>
      </c>
      <c r="I24" s="15" t="s">
        <v>175</v>
      </c>
      <c r="J24" s="18">
        <v>-2.0</v>
      </c>
      <c r="K24" s="18">
        <v>0.0</v>
      </c>
      <c r="L24" s="18">
        <v>2.0</v>
      </c>
      <c r="M24" s="18">
        <v>-2.0</v>
      </c>
      <c r="N24" s="15" t="s">
        <v>97</v>
      </c>
      <c r="O24" s="15"/>
    </row>
    <row r="25" ht="15.0" customHeight="1">
      <c r="A25" s="13">
        <v>46036.0</v>
      </c>
      <c r="B25" s="14" t="s">
        <v>624</v>
      </c>
      <c r="C25" s="14" t="s">
        <v>574</v>
      </c>
      <c r="D25" s="14" t="s">
        <v>79</v>
      </c>
      <c r="E25" s="15" t="s">
        <v>120</v>
      </c>
      <c r="F25" s="15" t="s">
        <v>121</v>
      </c>
      <c r="G25" s="15" t="s">
        <v>62</v>
      </c>
      <c r="H25" s="15" t="s">
        <v>122</v>
      </c>
      <c r="I25" s="15" t="s">
        <v>82</v>
      </c>
      <c r="J25" s="18">
        <v>994.0</v>
      </c>
      <c r="K25" s="18">
        <v>994.0</v>
      </c>
      <c r="L25" s="18">
        <v>0.0</v>
      </c>
      <c r="M25" s="18">
        <v>994.0</v>
      </c>
      <c r="N25" s="15" t="s">
        <v>97</v>
      </c>
      <c r="O25" s="15" t="s">
        <v>123</v>
      </c>
    </row>
    <row r="26" ht="15.0" customHeight="1">
      <c r="A26" s="13">
        <v>46046.0</v>
      </c>
      <c r="B26" s="14" t="s">
        <v>641</v>
      </c>
      <c r="C26" s="14" t="s">
        <v>638</v>
      </c>
      <c r="D26" s="14" t="s">
        <v>79</v>
      </c>
      <c r="E26" s="15" t="s">
        <v>642</v>
      </c>
      <c r="F26" s="15" t="s">
        <v>53</v>
      </c>
      <c r="G26" s="15" t="s">
        <v>36</v>
      </c>
      <c r="H26" s="15" t="s">
        <v>217</v>
      </c>
      <c r="I26" s="15" t="s">
        <v>82</v>
      </c>
      <c r="J26" s="18">
        <v>10413.0</v>
      </c>
      <c r="K26" s="18">
        <v>10413.0</v>
      </c>
      <c r="L26" s="18">
        <v>0.0</v>
      </c>
      <c r="M26" s="18">
        <v>10413.0</v>
      </c>
      <c r="N26" s="15" t="s">
        <v>97</v>
      </c>
      <c r="O26" s="15" t="s">
        <v>218</v>
      </c>
    </row>
    <row r="27" ht="15.0" customHeight="1">
      <c r="A27" s="13">
        <v>46068.0</v>
      </c>
      <c r="B27" s="14" t="s">
        <v>689</v>
      </c>
      <c r="C27" s="14" t="s">
        <v>638</v>
      </c>
      <c r="D27" s="14" t="s">
        <v>79</v>
      </c>
      <c r="E27" s="15" t="s">
        <v>690</v>
      </c>
      <c r="F27" s="15" t="s">
        <v>690</v>
      </c>
      <c r="G27" s="15" t="s">
        <v>50</v>
      </c>
      <c r="H27" s="15" t="s">
        <v>113</v>
      </c>
      <c r="I27" s="15" t="s">
        <v>82</v>
      </c>
      <c r="J27" s="18">
        <v>699.0</v>
      </c>
      <c r="K27" s="18">
        <v>699.0</v>
      </c>
      <c r="L27" s="18">
        <v>0.0</v>
      </c>
      <c r="M27" s="18">
        <v>699.0</v>
      </c>
      <c r="N27" s="15" t="s">
        <v>114</v>
      </c>
      <c r="O27" s="15" t="s">
        <v>212</v>
      </c>
    </row>
    <row r="28" ht="15.0" customHeight="1">
      <c r="A28" s="13">
        <v>46085.0</v>
      </c>
      <c r="B28" s="14" t="s">
        <v>716</v>
      </c>
      <c r="C28" s="14" t="s">
        <v>709</v>
      </c>
      <c r="D28" s="14" t="s">
        <v>79</v>
      </c>
      <c r="E28" s="15" t="s">
        <v>322</v>
      </c>
      <c r="F28" s="15" t="s">
        <v>121</v>
      </c>
      <c r="G28" s="15" t="s">
        <v>62</v>
      </c>
      <c r="H28" s="15" t="s">
        <v>122</v>
      </c>
      <c r="I28" s="15" t="s">
        <v>82</v>
      </c>
      <c r="J28" s="18">
        <v>120.0</v>
      </c>
      <c r="K28" s="18">
        <v>120.0</v>
      </c>
      <c r="L28" s="18">
        <v>0.0</v>
      </c>
      <c r="M28" s="18">
        <v>120.0</v>
      </c>
      <c r="N28" s="15" t="s">
        <v>97</v>
      </c>
      <c r="O28" s="15" t="s">
        <v>123</v>
      </c>
    </row>
    <row r="29" ht="15.0" customHeight="1">
      <c r="A29" s="13">
        <v>46093.0</v>
      </c>
      <c r="B29" s="14" t="s">
        <v>737</v>
      </c>
      <c r="C29" s="14" t="s">
        <v>709</v>
      </c>
      <c r="D29" s="14" t="s">
        <v>79</v>
      </c>
      <c r="E29" s="15" t="s">
        <v>642</v>
      </c>
      <c r="F29" s="15" t="s">
        <v>53</v>
      </c>
      <c r="G29" s="15" t="s">
        <v>36</v>
      </c>
      <c r="H29" s="15" t="s">
        <v>217</v>
      </c>
      <c r="I29" s="15" t="s">
        <v>82</v>
      </c>
      <c r="J29" s="18">
        <v>2059.0</v>
      </c>
      <c r="K29" s="18">
        <v>2059.0</v>
      </c>
      <c r="L29" s="18">
        <v>0.0</v>
      </c>
      <c r="M29" s="18">
        <v>2059.0</v>
      </c>
      <c r="N29" s="15" t="s">
        <v>97</v>
      </c>
      <c r="O29" s="15" t="s">
        <v>218</v>
      </c>
    </row>
    <row r="30" ht="15.0" customHeight="1">
      <c r="A30" s="13">
        <v>46098.0</v>
      </c>
      <c r="B30" s="14" t="s">
        <v>761</v>
      </c>
      <c r="C30" s="14" t="s">
        <v>709</v>
      </c>
      <c r="D30" s="14" t="s">
        <v>79</v>
      </c>
      <c r="E30" s="15" t="s">
        <v>762</v>
      </c>
      <c r="F30" s="15" t="s">
        <v>763</v>
      </c>
      <c r="G30" s="15" t="s">
        <v>50</v>
      </c>
      <c r="H30" s="15" t="s">
        <v>113</v>
      </c>
      <c r="I30" s="15" t="s">
        <v>82</v>
      </c>
      <c r="J30" s="18">
        <v>4500.0</v>
      </c>
      <c r="K30" s="18">
        <v>4500.0</v>
      </c>
      <c r="L30" s="18">
        <v>0.0</v>
      </c>
      <c r="M30" s="18">
        <v>4500.0</v>
      </c>
      <c r="N30" s="15" t="s">
        <v>114</v>
      </c>
      <c r="O30" s="15" t="s">
        <v>764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1.25"/>
    <col customWidth="1" min="2" max="2" width="22.13"/>
    <col customWidth="1" min="3" max="3" width="25.13"/>
    <col customWidth="1" min="4" max="4" width="16.0"/>
    <col customWidth="1" min="5" max="5" width="22.38"/>
    <col customWidth="1" min="6" max="6" width="25.5"/>
    <col customWidth="1" min="7" max="7" width="16.38"/>
    <col customWidth="1" min="8" max="26" width="8.63"/>
  </cols>
  <sheetData>
    <row r="1" ht="15.0" customHeight="1">
      <c r="A1" s="12" t="s">
        <v>806</v>
      </c>
      <c r="B1" s="12" t="s">
        <v>807</v>
      </c>
      <c r="C1" s="12" t="s">
        <v>808</v>
      </c>
      <c r="D1" s="12" t="s">
        <v>809</v>
      </c>
      <c r="E1" s="12" t="s">
        <v>810</v>
      </c>
      <c r="F1" s="12" t="s">
        <v>811</v>
      </c>
      <c r="G1" s="12" t="s">
        <v>812</v>
      </c>
    </row>
    <row r="2" ht="15.0" customHeight="1">
      <c r="A2" s="14" t="s">
        <v>78</v>
      </c>
      <c r="B2" s="16">
        <v>76674.65</v>
      </c>
      <c r="C2" s="16">
        <v>76674.65</v>
      </c>
      <c r="D2" s="16">
        <v>0.0</v>
      </c>
      <c r="E2" s="16">
        <v>29757.0</v>
      </c>
      <c r="F2" s="16">
        <v>29757.0</v>
      </c>
      <c r="G2" s="16">
        <v>0.0</v>
      </c>
    </row>
    <row r="3" ht="15.0" customHeight="1">
      <c r="A3" s="14" t="s">
        <v>136</v>
      </c>
      <c r="B3" s="16">
        <v>40825.24</v>
      </c>
      <c r="C3" s="16">
        <v>40825.24</v>
      </c>
      <c r="D3" s="16">
        <v>0.0</v>
      </c>
      <c r="E3" s="16">
        <v>76675.0</v>
      </c>
      <c r="F3" s="16">
        <v>76675.0</v>
      </c>
      <c r="G3" s="16">
        <v>0.0</v>
      </c>
    </row>
    <row r="4" ht="15.0" customHeight="1">
      <c r="A4" s="14" t="s">
        <v>170</v>
      </c>
      <c r="B4" s="16">
        <v>194721.06</v>
      </c>
      <c r="C4" s="16">
        <v>194721.06</v>
      </c>
      <c r="D4" s="16">
        <v>0.0</v>
      </c>
      <c r="E4" s="16">
        <v>42541.0</v>
      </c>
      <c r="F4" s="16">
        <v>42541.0</v>
      </c>
      <c r="G4" s="16">
        <v>0.0</v>
      </c>
    </row>
    <row r="5" ht="15.0" customHeight="1">
      <c r="A5" s="14" t="s">
        <v>239</v>
      </c>
      <c r="B5" s="16">
        <v>37747.71</v>
      </c>
      <c r="C5" s="16">
        <v>37747.71</v>
      </c>
      <c r="D5" s="16">
        <v>0.0</v>
      </c>
      <c r="E5" s="16">
        <v>201827.11</v>
      </c>
      <c r="F5" s="16">
        <v>201827.11</v>
      </c>
      <c r="G5" s="16">
        <v>0.0</v>
      </c>
    </row>
    <row r="6" ht="15.0" customHeight="1">
      <c r="A6" s="14" t="s">
        <v>265</v>
      </c>
      <c r="B6" s="16">
        <v>66267.21</v>
      </c>
      <c r="C6" s="16">
        <v>66267.21</v>
      </c>
      <c r="D6" s="16">
        <v>0.0</v>
      </c>
      <c r="E6" s="16">
        <v>28926.0</v>
      </c>
      <c r="F6" s="16">
        <v>28926.0</v>
      </c>
      <c r="G6" s="16">
        <v>0.0</v>
      </c>
    </row>
    <row r="7" ht="15.0" customHeight="1">
      <c r="A7" s="14" t="s">
        <v>312</v>
      </c>
      <c r="B7" s="16">
        <v>120094.11</v>
      </c>
      <c r="C7" s="16">
        <v>120094.11</v>
      </c>
      <c r="D7" s="16">
        <v>0.0</v>
      </c>
      <c r="E7" s="16">
        <v>71273.0</v>
      </c>
      <c r="F7" s="16">
        <v>71273.0</v>
      </c>
      <c r="G7" s="16">
        <v>0.0</v>
      </c>
    </row>
    <row r="8" ht="15.0" customHeight="1">
      <c r="A8" s="14" t="s">
        <v>370</v>
      </c>
      <c r="B8" s="16">
        <v>166954.62</v>
      </c>
      <c r="C8" s="16">
        <v>166954.62</v>
      </c>
      <c r="D8" s="16">
        <v>0.0</v>
      </c>
      <c r="E8" s="16">
        <v>117660.9</v>
      </c>
      <c r="F8" s="16">
        <v>117660.9</v>
      </c>
      <c r="G8" s="16">
        <v>0.0</v>
      </c>
    </row>
    <row r="9" ht="15.0" customHeight="1">
      <c r="A9" s="14" t="s">
        <v>445</v>
      </c>
      <c r="B9" s="16">
        <v>239592.54</v>
      </c>
      <c r="C9" s="16">
        <v>239592.54</v>
      </c>
      <c r="D9" s="16">
        <v>0.0</v>
      </c>
      <c r="E9" s="16">
        <v>165087.19</v>
      </c>
      <c r="F9" s="16">
        <v>165087.19</v>
      </c>
      <c r="G9" s="16">
        <v>0.0</v>
      </c>
    </row>
    <row r="10" ht="15.0" customHeight="1">
      <c r="A10" s="14" t="s">
        <v>509</v>
      </c>
      <c r="B10" s="16">
        <v>118501.11</v>
      </c>
      <c r="C10" s="16">
        <v>118501.11</v>
      </c>
      <c r="D10" s="16">
        <v>0.0</v>
      </c>
      <c r="E10" s="16">
        <v>242727.0</v>
      </c>
      <c r="F10" s="16">
        <v>242727.0</v>
      </c>
      <c r="G10" s="16">
        <v>0.0</v>
      </c>
    </row>
    <row r="11" ht="15.0" customHeight="1">
      <c r="A11" s="14" t="s">
        <v>574</v>
      </c>
      <c r="B11" s="16">
        <v>156533.0</v>
      </c>
      <c r="C11" s="16">
        <v>156533.0</v>
      </c>
      <c r="D11" s="16">
        <v>0.0</v>
      </c>
      <c r="E11" s="16">
        <v>116058.0</v>
      </c>
      <c r="F11" s="16">
        <v>116058.0</v>
      </c>
      <c r="G11" s="16">
        <v>0.0</v>
      </c>
    </row>
    <row r="12" ht="15.0" customHeight="1">
      <c r="A12" s="14" t="s">
        <v>638</v>
      </c>
      <c r="B12" s="16">
        <v>127550.46</v>
      </c>
      <c r="C12" s="16">
        <v>127550.46</v>
      </c>
      <c r="D12" s="16">
        <v>0.0</v>
      </c>
      <c r="E12" s="16">
        <v>157292.41</v>
      </c>
      <c r="F12" s="16">
        <v>157292.41</v>
      </c>
      <c r="G12" s="16">
        <v>0.0</v>
      </c>
    </row>
    <row r="13" ht="15.0" customHeight="1">
      <c r="A13" s="14" t="s">
        <v>709</v>
      </c>
      <c r="B13" s="16">
        <v>240294.09</v>
      </c>
      <c r="C13" s="16">
        <v>240294.09</v>
      </c>
      <c r="D13" s="16">
        <v>0.0</v>
      </c>
      <c r="E13" s="16">
        <v>125423.85</v>
      </c>
      <c r="F13" s="16">
        <v>125423.85</v>
      </c>
      <c r="G13" s="16">
        <v>0.0</v>
      </c>
    </row>
    <row r="15" ht="15.0" customHeight="1">
      <c r="A15" s="7" t="s">
        <v>813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G1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90.0"/>
    <col customWidth="1" min="3" max="26" width="8.63"/>
  </cols>
  <sheetData>
    <row r="1" ht="15.0" customHeight="1">
      <c r="A1" s="3" t="s">
        <v>814</v>
      </c>
      <c r="B1" s="3" t="s">
        <v>815</v>
      </c>
    </row>
    <row r="2" ht="15.0" customHeight="1">
      <c r="A2" s="2" t="s">
        <v>816</v>
      </c>
      <c r="B2" s="2" t="s">
        <v>817</v>
      </c>
    </row>
    <row r="3" ht="15.0" customHeight="1">
      <c r="A3" s="2" t="s">
        <v>818</v>
      </c>
      <c r="B3" s="2" t="s">
        <v>819</v>
      </c>
    </row>
    <row r="4" ht="15.0" customHeight="1">
      <c r="A4" s="2" t="s">
        <v>820</v>
      </c>
      <c r="B4" s="2" t="s">
        <v>821</v>
      </c>
    </row>
    <row r="5" ht="15.0" customHeight="1">
      <c r="A5" s="2" t="s">
        <v>822</v>
      </c>
      <c r="B5" s="2" t="s">
        <v>823</v>
      </c>
    </row>
    <row r="6" ht="15.0" customHeight="1">
      <c r="A6" s="2" t="s">
        <v>824</v>
      </c>
      <c r="B6" s="2" t="s">
        <v>825</v>
      </c>
    </row>
    <row r="10" ht="15.0" customHeight="1">
      <c r="A10" s="3" t="s">
        <v>35</v>
      </c>
      <c r="B10" s="3" t="s">
        <v>783</v>
      </c>
    </row>
    <row r="11" ht="15.0" customHeight="1">
      <c r="A11" s="2" t="s">
        <v>47</v>
      </c>
      <c r="B11" s="2" t="s">
        <v>789</v>
      </c>
    </row>
    <row r="12" ht="15.0" customHeight="1">
      <c r="A12" s="2" t="s">
        <v>40</v>
      </c>
      <c r="B12" s="2" t="s">
        <v>786</v>
      </c>
    </row>
    <row r="13" ht="15.0" customHeight="1">
      <c r="A13" s="2" t="s">
        <v>61</v>
      </c>
      <c r="B13" s="2" t="s">
        <v>791</v>
      </c>
    </row>
    <row r="14" ht="15.0" customHeight="1">
      <c r="A14" s="2" t="s">
        <v>37</v>
      </c>
      <c r="B14" s="2" t="s">
        <v>784</v>
      </c>
    </row>
    <row r="15" ht="15.0" customHeight="1">
      <c r="A15" s="2" t="s">
        <v>45</v>
      </c>
      <c r="B15" s="2" t="s">
        <v>788</v>
      </c>
    </row>
    <row r="16" ht="15.0" customHeight="1">
      <c r="A16" s="2" t="s">
        <v>38</v>
      </c>
      <c r="B16" s="2" t="s">
        <v>785</v>
      </c>
    </row>
    <row r="17" ht="15.0" customHeight="1">
      <c r="A17" s="2" t="s">
        <v>43</v>
      </c>
      <c r="B17" s="2" t="s">
        <v>787</v>
      </c>
    </row>
    <row r="18" ht="15.0" customHeight="1">
      <c r="A18" s="2" t="s">
        <v>49</v>
      </c>
      <c r="B18" s="2" t="s">
        <v>790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